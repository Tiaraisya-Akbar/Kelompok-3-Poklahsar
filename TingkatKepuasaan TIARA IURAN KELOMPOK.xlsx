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B0B3A926-738E-43E3-A8B2-456CE6D9862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asil Analisis Pieces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8" i="1" l="1"/>
  <c r="U8" i="1"/>
  <c r="O2" i="1"/>
  <c r="P2" i="1" s="1"/>
  <c r="O3" i="1"/>
  <c r="P3" i="1" s="1"/>
  <c r="O4" i="1"/>
  <c r="O5" i="1"/>
  <c r="O6" i="1"/>
  <c r="O7" i="1"/>
  <c r="P7" i="1" s="1"/>
  <c r="O8" i="1"/>
  <c r="O9" i="1"/>
  <c r="P9" i="1" s="1"/>
  <c r="O10" i="1"/>
  <c r="P10" i="1" s="1"/>
  <c r="O11" i="1"/>
  <c r="P11" i="1" s="1"/>
  <c r="O12" i="1"/>
  <c r="O13" i="1"/>
  <c r="O14" i="1"/>
  <c r="P14" i="1" s="1"/>
  <c r="O15" i="1"/>
  <c r="P15" i="1" s="1"/>
  <c r="O16" i="1"/>
  <c r="O17" i="1"/>
  <c r="P17" i="1" s="1"/>
  <c r="P12" i="1"/>
  <c r="P13" i="1"/>
  <c r="P16" i="1"/>
  <c r="P4" i="1"/>
  <c r="P5" i="1"/>
  <c r="P6" i="1"/>
  <c r="P8" i="1"/>
</calcChain>
</file>

<file path=xl/sharedStrings.xml><?xml version="1.0" encoding="utf-8"?>
<sst xmlns="http://schemas.openxmlformats.org/spreadsheetml/2006/main" count="63" uniqueCount="63">
  <si>
    <t>Timestamp</t>
  </si>
  <si>
    <t>Nama</t>
  </si>
  <si>
    <t>Nilai Skor Total</t>
  </si>
  <si>
    <t>Kategori</t>
  </si>
  <si>
    <t>Nilai</t>
  </si>
  <si>
    <t>Kategiori</t>
  </si>
  <si>
    <t>Sangat Tidak Puas</t>
  </si>
  <si>
    <t>Tidak Puas</t>
  </si>
  <si>
    <t>Puas</t>
  </si>
  <si>
    <t>Cukup Puas</t>
  </si>
  <si>
    <t>Sangat Puas</t>
  </si>
  <si>
    <t>Interval</t>
  </si>
  <si>
    <t>1-1,8</t>
  </si>
  <si>
    <t>1,81-2,6</t>
  </si>
  <si>
    <t>2,61-3,4</t>
  </si>
  <si>
    <t>3,41-4,2</t>
  </si>
  <si>
    <t>4,21-5</t>
  </si>
  <si>
    <t>Frekuensi</t>
  </si>
  <si>
    <t>Presentase</t>
  </si>
  <si>
    <t>1. Bagaimana tingkat kepuasan terhadap kemudahan penggunaan Sistem Informasi POKLAHSAR?</t>
  </si>
  <si>
    <t>2. Bagaimana tingkat kepuasan terhadap kecepatan sistem dalam membuka dan menjalankan fitur Iuran Kelompok?</t>
  </si>
  <si>
    <t>3. Bagaimana tingkat kepuasan terhadap kejelasan informasi yang ditampilkan pada fitur Iuran Kelompok?</t>
  </si>
  <si>
    <t>4. Bagaimana tingkat kepuasan terhadap ketepatan data iuran yang tersimpan pada fitur Iuran Kelompok?</t>
  </si>
  <si>
    <t>5. Bagaimana tingkat kepuasan terhadap manfaat fitur Iuran Kelompok dalam mengurangi penggunaan buku pencatatan manual?</t>
  </si>
  <si>
    <t>6. Bagaimana tingkat kepuasan terhadap manfaat fitur Iuran Kelompok dalam menghemat waktu pengelolaan data iuran?</t>
  </si>
  <si>
    <t>7. Bagaimana tingkat kepuasan terhadap keamanan data iuran anggota yang tersimpan pada sistem?</t>
  </si>
  <si>
    <t>8. Bagaimana tingkat kepuasan terhadap kemampuan fitur Iuran Kelompok dalam mengurangi kesalahan pencatatan data iuran?</t>
  </si>
  <si>
    <t>9. Bagaimana tingkat kepuasan terhadap kemudahan pencarian data iuran anggota pada fitur Iuran Kelompok?</t>
  </si>
  <si>
    <t>10. Bagaimana tingkat kepuasan terhadap kemudahan pengelolaan dan rekapitulasi data iuran kelompok menggunakan fitur Iuran Kelompok?</t>
  </si>
  <si>
    <t>11. Bagaimana tingkat kepuasan terhadap tampilan dan kemudahan penggunaan fitur Iuran Kelompok?</t>
  </si>
  <si>
    <t>12. Bagaimana tingkat kepuasan secara keseluruhan terhadap fitur Iuran Kelompok pada Sistem Informasi POKLAHSAR?</t>
  </si>
  <si>
    <t>5/31/2026 21:23:14</t>
  </si>
  <si>
    <t>Habibah</t>
  </si>
  <si>
    <t>5/31/2026 21:28:14</t>
  </si>
  <si>
    <t>Partini</t>
  </si>
  <si>
    <t>5/31/2026 21:35:52</t>
  </si>
  <si>
    <t>Maenah</t>
  </si>
  <si>
    <t>5/31/2026 21:51:42</t>
  </si>
  <si>
    <t>Ida Susanti</t>
  </si>
  <si>
    <t>5/31/2026 21:52:00</t>
  </si>
  <si>
    <t>Sarwo</t>
  </si>
  <si>
    <t>5/31/2026 21:52:54</t>
  </si>
  <si>
    <t>Wiwin Sunarti</t>
  </si>
  <si>
    <t>5/31/2026 21:53:26</t>
  </si>
  <si>
    <t>Ria Hartini</t>
  </si>
  <si>
    <t>5/31/2026 21:53:57</t>
  </si>
  <si>
    <t>Juliasih</t>
  </si>
  <si>
    <t>5/31/2026 21:54:28</t>
  </si>
  <si>
    <t>Syamsyiah</t>
  </si>
  <si>
    <t>5/31/2026 21:54:56</t>
  </si>
  <si>
    <t>Neneng</t>
  </si>
  <si>
    <t>5/31/2026 21:55:28</t>
  </si>
  <si>
    <t>Supinah</t>
  </si>
  <si>
    <t>5/31/2026 21:55:50</t>
  </si>
  <si>
    <t>Jirah</t>
  </si>
  <si>
    <t>5/31/2026 21:56:20</t>
  </si>
  <si>
    <t>Ani</t>
  </si>
  <si>
    <t>5/31/2026 21:56:46</t>
  </si>
  <si>
    <t>Warti A</t>
  </si>
  <si>
    <t>5/31/2026 21:57:09</t>
  </si>
  <si>
    <t>Indayani</t>
  </si>
  <si>
    <t>5/31/2026 21:57:34</t>
  </si>
  <si>
    <t>Amina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</si>
</sst>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1" formatCode="_-* #,##0_-;\-* #,##0_-;_-* &quot;-&quot;_-;_-@_-"/>
    <numFmt numFmtId="164" formatCode="_-* #,##0.00_-;\-* #,##0.00_-;_-* &quot;-&quot;_-;_-@_-"/>
  </numFmts>
  <fonts count="5" x14ac:knownFonts="1">
    <font>
      <sz val="10"/>
      <color rgb="FF000000"/>
      <name val="Arial"/>
      <scheme val="minor"/>
    </font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u/>
      <sz val="10"/>
      <color theme="1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9" fontId="0" fillId="0" borderId="0" xfId="2" applyFont="1"/>
    <xf numFmtId="9" fontId="0" fillId="0" borderId="0" xfId="0" applyNumberFormat="1"/>
    <xf numFmtId="0" fontId="0" fillId="0" borderId="1" xfId="0" applyBorder="1"/>
    <xf numFmtId="164" fontId="0" fillId="0" borderId="1" xfId="1" applyNumberFormat="1" applyFont="1" applyBorder="1"/>
    <xf numFmtId="0" fontId="0" fillId="0" borderId="1" xfId="0" applyBorder="1" applyAlignment="1">
      <alignment horizontal="center"/>
    </xf>
    <xf numFmtId="9" fontId="0" fillId="0" borderId="1" xfId="2" applyFont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0" fontId="4" fillId="0" borderId="0" xfId="3"/>
    <xf numFmtId="0" fontId="3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9" fontId="0" fillId="0" borderId="0" xfId="2" applyFont="1" applyBorder="1" applyAlignment="1">
      <alignment horizontal="center"/>
    </xf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4">
    <cellStyle name="Comma [0]" xfId="1" builtinId="6"/>
    <cellStyle name="Hyperlink" xfId="3" builtinId="8"/>
    <cellStyle name="Normal" xfId="0" builtinId="0"/>
    <cellStyle name="Percent" xfId="2" builtinId="5"/>
  </cellStyles>
  <dxfs count="21"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_-;\-* #,##0.00_-;_-* &quot;-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20"/>
      <tableStyleElement type="headerRow" dxfId="19"/>
      <tableStyleElement type="firstRowStripe" dxfId="18"/>
      <tableStyleElement type="secondRowStripe" dxfId="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Tingkat</a:t>
            </a:r>
            <a:r>
              <a:rPr lang="en-US" sz="1400" baseline="0"/>
              <a:t> Kepuasan Penggunaan Fitur Iuran Kelompok pada Sistem Informasi POKLAHSAR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'Hasil Analisis Pieces'!$V$2</c:f>
              <c:strCache>
                <c:ptCount val="1"/>
                <c:pt idx="0">
                  <c:v>Presentase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3EE8-4C1D-A829-7FAA600AE838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3EE8-4C1D-A829-7FAA600AE838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3EE8-4C1D-A829-7FAA600AE838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3EE8-4C1D-A829-7FAA600AE838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3EE8-4C1D-A829-7FAA600AE838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CC1E-4ED1-98EA-76870F9FA5C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'Hasil Analisis Pieces'!$S$2:$S$7</c:f>
              <c:strCache>
                <c:ptCount val="6"/>
                <c:pt idx="0">
                  <c:v>Kategori</c:v>
                </c:pt>
                <c:pt idx="1">
                  <c:v>Sangat Tidak Puas</c:v>
                </c:pt>
                <c:pt idx="2">
                  <c:v>Tidak Puas</c:v>
                </c:pt>
                <c:pt idx="3">
                  <c:v>Puas</c:v>
                </c:pt>
                <c:pt idx="4">
                  <c:v>Cukup Puas</c:v>
                </c:pt>
                <c:pt idx="5">
                  <c:v>Sangat Puas</c:v>
                </c:pt>
              </c:strCache>
            </c:strRef>
          </c:cat>
          <c:val>
            <c:numRef>
              <c:f>'Hasil Analisis Pieces'!$V$3:$V$8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0.2</c:v>
                </c:pt>
                <c:pt idx="3">
                  <c:v>1.4</c:v>
                </c:pt>
                <c:pt idx="4">
                  <c:v>0</c:v>
                </c:pt>
                <c:pt idx="5">
                  <c:v>1.5999999999999999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90-4BB9-B21E-8B3D916541F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586160374812963"/>
          <c:y val="0.35093248760571599"/>
          <c:w val="0.32747172958520371"/>
          <c:h val="0.50322761738116073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327660</xdr:colOff>
      <xdr:row>8</xdr:row>
      <xdr:rowOff>91440</xdr:rowOff>
    </xdr:from>
    <xdr:to>
      <xdr:col>21</xdr:col>
      <xdr:colOff>320040</xdr:colOff>
      <xdr:row>21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8D15FB-35D0-4916-AA84-30B320087C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P17" headerRowDxfId="0">
  <tableColumns count="16">
    <tableColumn id="1" xr3:uid="{00000000-0010-0000-0000-000001000000}" name="Timestamp" dataDxfId="16"/>
    <tableColumn id="2" xr3:uid="{00000000-0010-0000-0000-000002000000}" name="Nama" dataDxfId="15"/>
    <tableColumn id="3" xr3:uid="{00000000-0010-0000-0000-000003000000}" name="1. Bagaimana tingkat kepuasan terhadap kemudahan penggunaan Sistem Informasi POKLAHSAR?" dataDxfId="12"/>
    <tableColumn id="4" xr3:uid="{00000000-0010-0000-0000-000004000000}" name="2. Bagaimana tingkat kepuasan terhadap kecepatan sistem dalam membuka dan menjalankan fitur Iuran Kelompok?" dataDxfId="11"/>
    <tableColumn id="5" xr3:uid="{00000000-0010-0000-0000-000005000000}" name="3. Bagaimana tingkat kepuasan terhadap kejelasan informasi yang ditampilkan pada fitur Iuran Kelompok?" dataDxfId="10"/>
    <tableColumn id="6" xr3:uid="{00000000-0010-0000-0000-000006000000}" name="4. Bagaimana tingkat kepuasan terhadap ketepatan data iuran yang tersimpan pada fitur Iuran Kelompok?" dataDxfId="9"/>
    <tableColumn id="7" xr3:uid="{00000000-0010-0000-0000-000007000000}" name="5. Bagaimana tingkat kepuasan terhadap manfaat fitur Iuran Kelompok dalam mengurangi penggunaan buku pencatatan manual?" dataDxfId="8"/>
    <tableColumn id="8" xr3:uid="{00000000-0010-0000-0000-000008000000}" name="6. Bagaimana tingkat kepuasan terhadap manfaat fitur Iuran Kelompok dalam menghemat waktu pengelolaan data iuran?" dataDxfId="7"/>
    <tableColumn id="9" xr3:uid="{00000000-0010-0000-0000-000009000000}" name="7. Bagaimana tingkat kepuasan terhadap keamanan data iuran anggota yang tersimpan pada sistem?" dataDxfId="6"/>
    <tableColumn id="10" xr3:uid="{00000000-0010-0000-0000-00000A000000}" name="8. Bagaimana tingkat kepuasan terhadap kemampuan fitur Iuran Kelompok dalam mengurangi kesalahan pencatatan data iuran?" dataDxfId="5"/>
    <tableColumn id="11" xr3:uid="{00000000-0010-0000-0000-00000B000000}" name="9. Bagaimana tingkat kepuasan terhadap kemudahan pencarian data iuran anggota pada fitur Iuran Kelompok?" dataDxfId="4"/>
    <tableColumn id="12" xr3:uid="{00000000-0010-0000-0000-00000C000000}" name="10. Bagaimana tingkat kepuasan terhadap kemudahan pengelolaan dan rekapitulasi data iuran kelompok menggunakan fitur Iuran Kelompok?" dataDxfId="3"/>
    <tableColumn id="13" xr3:uid="{00000000-0010-0000-0000-00000D000000}" name="11. Bagaimana tingkat kepuasan terhadap tampilan dan kemudahan penggunaan fitur Iuran Kelompok?" dataDxfId="2"/>
    <tableColumn id="14" xr3:uid="{00000000-0010-0000-0000-00000E000000}" name="12. Bagaimana tingkat kepuasan secara keseluruhan terhadap fitur Iuran Kelompok pada Sistem Informasi POKLAHSAR?" dataDxfId="1"/>
    <tableColumn id="18" xr3:uid="{93449639-45EF-4670-9C5E-266375CCD644}" name="Nilai Skor Total" dataDxfId="14" dataCellStyle="Comma [0]">
      <calculatedColumnFormula>SUM(Form_Responses[[#This Row],[1. Bagaimana tingkat kepuasan terhadap kemudahan penggunaan Sistem Informasi POKLAHSAR?]:[12. Bagaimana tingkat kepuasan secara keseluruhan terhadap fitur Iuran Kelompok pada Sistem Informasi POKLAHSAR?]])/12</calculatedColumnFormula>
    </tableColumn>
    <tableColumn id="19" xr3:uid="{E06B9132-BA3C-48C1-98BE-9E08F9E5747C}" name="Kategiori" dataDxfId="13">
      <calculatedColumnFormula>IF(Form_Responses[[#This Row],[Nilai Skor Total]]&lt;=1.8,"Sangat Tidak Puas",IF(Form_Responses[[#This Row],[Nilai Skor Total]]&lt;=2.6,"Tidak Puas",IF(Form_Responses[[#This Row],[Nilai Skor Total]]&lt;=3.4,"Puas",IF(Form_Responses[[#This Row],[Nilai Skor Total]]&lt;=4.2,"Cukup Puas",IF(Form_Responses[[#This Row],[Nilai Skor Total]]&lt;=5,"Sangat Puas")))))</calculatedColumnFormula>
    </tableColumn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382"/>
  <sheetViews>
    <sheetView tabSelected="1" workbookViewId="0">
      <pane ySplit="1" topLeftCell="A2" activePane="bottomLeft" state="frozen"/>
      <selection pane="bottomLeft" activeCell="P20" sqref="P20"/>
    </sheetView>
  </sheetViews>
  <sheetFormatPr defaultColWidth="12.6640625" defaultRowHeight="15.75" customHeight="1" x14ac:dyDescent="0.25"/>
  <cols>
    <col min="1" max="2" width="18.88671875" customWidth="1"/>
    <col min="3" max="3" width="6.44140625" customWidth="1"/>
    <col min="4" max="4" width="5.44140625" customWidth="1"/>
    <col min="5" max="6" width="5.21875" customWidth="1"/>
    <col min="7" max="7" width="5.109375" customWidth="1"/>
    <col min="8" max="8" width="5.6640625" customWidth="1"/>
    <col min="9" max="9" width="6.88671875" customWidth="1"/>
    <col min="10" max="10" width="8.44140625" customWidth="1"/>
    <col min="11" max="11" width="7.44140625" customWidth="1"/>
    <col min="12" max="12" width="9.109375" customWidth="1"/>
    <col min="13" max="13" width="8.5546875" customWidth="1"/>
    <col min="14" max="14" width="7.88671875" customWidth="1"/>
    <col min="15" max="15" width="15.44140625" customWidth="1"/>
    <col min="16" max="16" width="17.109375" customWidth="1"/>
    <col min="17" max="17" width="10.44140625" customWidth="1"/>
    <col min="18" max="18" width="13.44140625" customWidth="1"/>
    <col min="19" max="19" width="16.77734375" customWidth="1"/>
    <col min="20" max="20" width="10.109375" customWidth="1"/>
  </cols>
  <sheetData>
    <row r="1" spans="1:23" ht="22.5" customHeight="1" x14ac:dyDescent="0.25">
      <c r="A1" s="14" t="s">
        <v>0</v>
      </c>
      <c r="B1" s="14" t="s">
        <v>1</v>
      </c>
      <c r="C1" s="14" t="s">
        <v>19</v>
      </c>
      <c r="D1" s="14" t="s">
        <v>20</v>
      </c>
      <c r="E1" s="14" t="s">
        <v>21</v>
      </c>
      <c r="F1" s="14" t="s">
        <v>22</v>
      </c>
      <c r="G1" s="14" t="s">
        <v>23</v>
      </c>
      <c r="H1" s="14" t="s">
        <v>24</v>
      </c>
      <c r="I1" s="14" t="s">
        <v>25</v>
      </c>
      <c r="J1" s="14" t="s">
        <v>26</v>
      </c>
      <c r="K1" s="14" t="s">
        <v>27</v>
      </c>
      <c r="L1" s="14" t="s">
        <v>28</v>
      </c>
      <c r="M1" s="14" t="s">
        <v>29</v>
      </c>
      <c r="N1" s="14" t="s">
        <v>30</v>
      </c>
      <c r="O1" s="15" t="s">
        <v>2</v>
      </c>
      <c r="P1" s="15" t="s">
        <v>5</v>
      </c>
    </row>
    <row r="2" spans="1:23" ht="22.5" customHeight="1" x14ac:dyDescent="0.25">
      <c r="A2" s="3" t="s">
        <v>31</v>
      </c>
      <c r="B2" s="3" t="s">
        <v>32</v>
      </c>
      <c r="C2" s="5">
        <v>4</v>
      </c>
      <c r="D2" s="5">
        <v>4</v>
      </c>
      <c r="E2" s="5">
        <v>3</v>
      </c>
      <c r="F2" s="5">
        <v>3</v>
      </c>
      <c r="G2" s="5">
        <v>4</v>
      </c>
      <c r="H2" s="5">
        <v>5</v>
      </c>
      <c r="I2" s="5">
        <v>5</v>
      </c>
      <c r="J2" s="5">
        <v>4</v>
      </c>
      <c r="K2" s="5">
        <v>4</v>
      </c>
      <c r="L2" s="5">
        <v>5</v>
      </c>
      <c r="M2" s="5">
        <v>5</v>
      </c>
      <c r="N2" s="5">
        <v>4</v>
      </c>
      <c r="O2" s="4">
        <f>SUM(Form_Responses[[#This Row],[1. Bagaimana tingkat kepuasan terhadap kemudahan penggunaan Sistem Informasi POKLAHSAR?]:[12. Bagaimana tingkat kepuasan secara keseluruhan terhadap fitur Iuran Kelompok pada Sistem Informasi POKLAHSAR?]])/12</f>
        <v>4.166666666666667</v>
      </c>
      <c r="P2" s="5" t="str">
        <f>IF(Form_Responses[[#This Row],[Nilai Skor Total]]&lt;=1.8,"Sangat Tidak Puas",IF(Form_Responses[[#This Row],[Nilai Skor Total]]&lt;=2.6,"Tidak Puas",IF(Form_Responses[[#This Row],[Nilai Skor Total]]&lt;=3.4,"Puas",IF(Form_Responses[[#This Row],[Nilai Skor Total]]&lt;=4.2,"Cukup Puas",IF(Form_Responses[[#This Row],[Nilai Skor Total]]&lt;=5,"Sangat Puas")))))</f>
        <v>Cukup Puas</v>
      </c>
      <c r="R2" s="13" t="s">
        <v>11</v>
      </c>
      <c r="S2" s="13" t="s">
        <v>3</v>
      </c>
      <c r="T2" s="13" t="s">
        <v>4</v>
      </c>
      <c r="U2" s="13" t="s">
        <v>17</v>
      </c>
      <c r="V2" s="13" t="s">
        <v>18</v>
      </c>
    </row>
    <row r="3" spans="1:23" ht="22.5" customHeight="1" x14ac:dyDescent="0.25">
      <c r="A3" s="3" t="s">
        <v>33</v>
      </c>
      <c r="B3" s="3" t="s">
        <v>34</v>
      </c>
      <c r="C3" s="5">
        <v>3</v>
      </c>
      <c r="D3" s="5">
        <v>3</v>
      </c>
      <c r="E3" s="5">
        <v>2</v>
      </c>
      <c r="F3" s="5">
        <v>2</v>
      </c>
      <c r="G3" s="5">
        <v>4</v>
      </c>
      <c r="H3" s="5">
        <v>5</v>
      </c>
      <c r="I3" s="5">
        <v>5</v>
      </c>
      <c r="J3" s="5">
        <v>4</v>
      </c>
      <c r="K3" s="5">
        <v>3</v>
      </c>
      <c r="L3" s="5">
        <v>4</v>
      </c>
      <c r="M3" s="5">
        <v>4</v>
      </c>
      <c r="N3" s="5">
        <v>3</v>
      </c>
      <c r="O3" s="4">
        <f>SUM(Form_Responses[[#This Row],[1. Bagaimana tingkat kepuasan terhadap kemudahan penggunaan Sistem Informasi POKLAHSAR?]:[12. Bagaimana tingkat kepuasan secara keseluruhan terhadap fitur Iuran Kelompok pada Sistem Informasi POKLAHSAR?]])/12</f>
        <v>3.5</v>
      </c>
      <c r="P3" s="5" t="str">
        <f>IF(Form_Responses[[#This Row],[Nilai Skor Total]]&lt;=1.8,"Sangat Tidak Puas",IF(Form_Responses[[#This Row],[Nilai Skor Total]]&lt;=2.6,"Tidak Puas",IF(Form_Responses[[#This Row],[Nilai Skor Total]]&lt;=3.4,"Puas",IF(Form_Responses[[#This Row],[Nilai Skor Total]]&lt;=4.2,"Cukup Puas",IF(Form_Responses[[#This Row],[Nilai Skor Total]]&lt;=5,"Sangat Puas")))))</f>
        <v>Cukup Puas</v>
      </c>
      <c r="R3" s="5" t="s">
        <v>12</v>
      </c>
      <c r="S3" s="3" t="s">
        <v>6</v>
      </c>
      <c r="T3" s="5">
        <v>1</v>
      </c>
      <c r="U3" s="5">
        <v>0</v>
      </c>
      <c r="V3" s="6">
        <v>0</v>
      </c>
    </row>
    <row r="4" spans="1:23" ht="22.5" customHeight="1" x14ac:dyDescent="0.25">
      <c r="A4" s="3" t="s">
        <v>35</v>
      </c>
      <c r="B4" s="3" t="s">
        <v>36</v>
      </c>
      <c r="C4" s="5">
        <v>5</v>
      </c>
      <c r="D4" s="5">
        <v>3</v>
      </c>
      <c r="E4" s="5">
        <v>4</v>
      </c>
      <c r="F4" s="5">
        <v>2</v>
      </c>
      <c r="G4" s="5">
        <v>3</v>
      </c>
      <c r="H4" s="5">
        <v>4</v>
      </c>
      <c r="I4" s="5">
        <v>3</v>
      </c>
      <c r="J4" s="5">
        <v>2</v>
      </c>
      <c r="K4" s="5">
        <v>3</v>
      </c>
      <c r="L4" s="5">
        <v>4</v>
      </c>
      <c r="M4" s="5">
        <v>4</v>
      </c>
      <c r="N4" s="5">
        <v>3</v>
      </c>
      <c r="O4" s="4">
        <f>SUM(Form_Responses[[#This Row],[1. Bagaimana tingkat kepuasan terhadap kemudahan penggunaan Sistem Informasi POKLAHSAR?]:[12. Bagaimana tingkat kepuasan secara keseluruhan terhadap fitur Iuran Kelompok pada Sistem Informasi POKLAHSAR?]])/12</f>
        <v>3.3333333333333335</v>
      </c>
      <c r="P4" s="5" t="str">
        <f>IF(Form_Responses[[#This Row],[Nilai Skor Total]]&lt;=1.8,"Sangat Tidak Puas",IF(Form_Responses[[#This Row],[Nilai Skor Total]]&lt;=2.6,"Tidak Puas",IF(Form_Responses[[#This Row],[Nilai Skor Total]]&lt;=3.4,"Puas",IF(Form_Responses[[#This Row],[Nilai Skor Total]]&lt;=4.2,"Cukup Puas",IF(Form_Responses[[#This Row],[Nilai Skor Total]]&lt;=5,"Sangat Puas")))))</f>
        <v>Puas</v>
      </c>
      <c r="R4" s="5" t="s">
        <v>13</v>
      </c>
      <c r="S4" s="3" t="s">
        <v>7</v>
      </c>
      <c r="T4" s="5">
        <v>2</v>
      </c>
      <c r="U4" s="5">
        <v>0</v>
      </c>
      <c r="V4" s="6">
        <v>0</v>
      </c>
    </row>
    <row r="5" spans="1:23" ht="22.5" customHeight="1" x14ac:dyDescent="0.25">
      <c r="A5" s="3" t="s">
        <v>37</v>
      </c>
      <c r="B5" s="3" t="s">
        <v>38</v>
      </c>
      <c r="C5" s="5">
        <v>4</v>
      </c>
      <c r="D5" s="5">
        <v>3</v>
      </c>
      <c r="E5" s="5">
        <v>4</v>
      </c>
      <c r="F5" s="5">
        <v>3</v>
      </c>
      <c r="G5" s="5">
        <v>1</v>
      </c>
      <c r="H5" s="5">
        <v>2</v>
      </c>
      <c r="I5" s="5">
        <v>3</v>
      </c>
      <c r="J5" s="5">
        <v>4</v>
      </c>
      <c r="K5" s="5">
        <v>5</v>
      </c>
      <c r="L5" s="5">
        <v>3</v>
      </c>
      <c r="M5" s="5">
        <v>4</v>
      </c>
      <c r="N5" s="5">
        <v>3</v>
      </c>
      <c r="O5" s="7">
        <f>SUM(Form_Responses[[#This Row],[1. Bagaimana tingkat kepuasan terhadap kemudahan penggunaan Sistem Informasi POKLAHSAR?]:[12. Bagaimana tingkat kepuasan secara keseluruhan terhadap fitur Iuran Kelompok pada Sistem Informasi POKLAHSAR?]])/12</f>
        <v>3.25</v>
      </c>
      <c r="P5" s="5" t="str">
        <f>IF(Form_Responses[[#This Row],[Nilai Skor Total]]&lt;=1.8,"Sangat Tidak Puas",IF(Form_Responses[[#This Row],[Nilai Skor Total]]&lt;=2.6,"Tidak Puas",IF(Form_Responses[[#This Row],[Nilai Skor Total]]&lt;=3.4,"Puas",IF(Form_Responses[[#This Row],[Nilai Skor Total]]&lt;=4.2,"Cukup Puas",IF(Form_Responses[[#This Row],[Nilai Skor Total]]&lt;=5,"Sangat Puas")))))</f>
        <v>Puas</v>
      </c>
      <c r="R5" s="5" t="s">
        <v>14</v>
      </c>
      <c r="S5" s="3" t="s">
        <v>8</v>
      </c>
      <c r="T5" s="5">
        <v>3</v>
      </c>
      <c r="U5" s="5">
        <v>2</v>
      </c>
      <c r="V5" s="6">
        <v>0.2</v>
      </c>
    </row>
    <row r="6" spans="1:23" ht="22.5" customHeight="1" x14ac:dyDescent="0.25">
      <c r="A6" s="3" t="s">
        <v>39</v>
      </c>
      <c r="B6" s="3" t="s">
        <v>40</v>
      </c>
      <c r="C6" s="5">
        <v>5</v>
      </c>
      <c r="D6" s="5">
        <v>4</v>
      </c>
      <c r="E6" s="5">
        <v>5</v>
      </c>
      <c r="F6" s="5">
        <v>3</v>
      </c>
      <c r="G6" s="5">
        <v>4</v>
      </c>
      <c r="H6" s="5">
        <v>4</v>
      </c>
      <c r="I6" s="5">
        <v>4</v>
      </c>
      <c r="J6" s="5">
        <v>3</v>
      </c>
      <c r="K6" s="5">
        <v>3</v>
      </c>
      <c r="L6" s="5">
        <v>3</v>
      </c>
      <c r="M6" s="5">
        <v>3</v>
      </c>
      <c r="N6" s="5">
        <v>3</v>
      </c>
      <c r="O6" s="7">
        <f>SUM(Form_Responses[[#This Row],[1. Bagaimana tingkat kepuasan terhadap kemudahan penggunaan Sistem Informasi POKLAHSAR?]:[12. Bagaimana tingkat kepuasan secara keseluruhan terhadap fitur Iuran Kelompok pada Sistem Informasi POKLAHSAR?]])/12</f>
        <v>3.6666666666666665</v>
      </c>
      <c r="P6" s="5" t="str">
        <f>IF(Form_Responses[[#This Row],[Nilai Skor Total]]&lt;=1.8,"Sangat Tidak Puas",IF(Form_Responses[[#This Row],[Nilai Skor Total]]&lt;=2.6,"Tidak Puas",IF(Form_Responses[[#This Row],[Nilai Skor Total]]&lt;=3.4,"Puas",IF(Form_Responses[[#This Row],[Nilai Skor Total]]&lt;=4.2,"Cukup Puas",IF(Form_Responses[[#This Row],[Nilai Skor Total]]&lt;=5,"Sangat Puas")))))</f>
        <v>Cukup Puas</v>
      </c>
      <c r="R6" s="5" t="s">
        <v>15</v>
      </c>
      <c r="S6" s="3" t="s">
        <v>9</v>
      </c>
      <c r="T6" s="5">
        <v>4</v>
      </c>
      <c r="U6" s="5">
        <v>14</v>
      </c>
      <c r="V6" s="6">
        <v>1.4</v>
      </c>
    </row>
    <row r="7" spans="1:23" ht="22.5" customHeight="1" x14ac:dyDescent="0.25">
      <c r="A7" s="3" t="s">
        <v>41</v>
      </c>
      <c r="B7" s="3" t="s">
        <v>42</v>
      </c>
      <c r="C7" s="5">
        <v>3</v>
      </c>
      <c r="D7" s="5">
        <v>4</v>
      </c>
      <c r="E7" s="5">
        <v>3</v>
      </c>
      <c r="F7" s="5">
        <v>3</v>
      </c>
      <c r="G7" s="5">
        <v>4</v>
      </c>
      <c r="H7" s="5">
        <v>4</v>
      </c>
      <c r="I7" s="5">
        <v>5</v>
      </c>
      <c r="J7" s="5">
        <v>5</v>
      </c>
      <c r="K7" s="5">
        <v>4</v>
      </c>
      <c r="L7" s="5">
        <v>4</v>
      </c>
      <c r="M7" s="5">
        <v>3</v>
      </c>
      <c r="N7" s="5">
        <v>3</v>
      </c>
      <c r="O7" s="7">
        <f>SUM(Form_Responses[[#This Row],[1. Bagaimana tingkat kepuasan terhadap kemudahan penggunaan Sistem Informasi POKLAHSAR?]:[12. Bagaimana tingkat kepuasan secara keseluruhan terhadap fitur Iuran Kelompok pada Sistem Informasi POKLAHSAR?]])/12</f>
        <v>3.75</v>
      </c>
      <c r="P7" s="5" t="str">
        <f>IF(Form_Responses[[#This Row],[Nilai Skor Total]]&lt;=1.8,"Sangat Tidak Puas",IF(Form_Responses[[#This Row],[Nilai Skor Total]]&lt;=2.6,"Tidak Puas",IF(Form_Responses[[#This Row],[Nilai Skor Total]]&lt;=3.4,"Puas",IF(Form_Responses[[#This Row],[Nilai Skor Total]]&lt;=4.2,"Cukup Puas",IF(Form_Responses[[#This Row],[Nilai Skor Total]]&lt;=5,"Sangat Puas")))))</f>
        <v>Cukup Puas</v>
      </c>
      <c r="R7" s="5" t="s">
        <v>16</v>
      </c>
      <c r="S7" s="3" t="s">
        <v>10</v>
      </c>
      <c r="T7" s="5">
        <v>5</v>
      </c>
      <c r="U7" s="5">
        <v>0</v>
      </c>
      <c r="V7" s="6">
        <v>0</v>
      </c>
    </row>
    <row r="8" spans="1:23" ht="22.5" customHeight="1" x14ac:dyDescent="0.25">
      <c r="A8" s="3" t="s">
        <v>43</v>
      </c>
      <c r="B8" s="3" t="s">
        <v>44</v>
      </c>
      <c r="C8" s="5">
        <v>4</v>
      </c>
      <c r="D8" s="5">
        <v>4</v>
      </c>
      <c r="E8" s="5">
        <v>3</v>
      </c>
      <c r="F8" s="5">
        <v>3</v>
      </c>
      <c r="G8" s="5">
        <v>4</v>
      </c>
      <c r="H8" s="5">
        <v>3</v>
      </c>
      <c r="I8" s="5">
        <v>3</v>
      </c>
      <c r="J8" s="5">
        <v>4</v>
      </c>
      <c r="K8" s="5">
        <v>5</v>
      </c>
      <c r="L8" s="5">
        <v>5</v>
      </c>
      <c r="M8" s="5">
        <v>4</v>
      </c>
      <c r="N8" s="5">
        <v>4</v>
      </c>
      <c r="O8" s="7">
        <f>SUM(Form_Responses[[#This Row],[1. Bagaimana tingkat kepuasan terhadap kemudahan penggunaan Sistem Informasi POKLAHSAR?]:[12. Bagaimana tingkat kepuasan secara keseluruhan terhadap fitur Iuran Kelompok pada Sistem Informasi POKLAHSAR?]])/12</f>
        <v>3.8333333333333335</v>
      </c>
      <c r="P8" s="5" t="str">
        <f>IF(Form_Responses[[#This Row],[Nilai Skor Total]]&lt;=1.8,"Sangat Tidak Puas",IF(Form_Responses[[#This Row],[Nilai Skor Total]]&lt;=2.6,"Tidak Puas",IF(Form_Responses[[#This Row],[Nilai Skor Total]]&lt;=3.4,"Puas",IF(Form_Responses[[#This Row],[Nilai Skor Total]]&lt;=4.2,"Cukup Puas",IF(Form_Responses[[#This Row],[Nilai Skor Total]]&lt;=5,"Sangat Puas")))))</f>
        <v>Cukup Puas</v>
      </c>
      <c r="R8" s="3"/>
      <c r="S8" s="3"/>
      <c r="T8" s="3"/>
      <c r="U8" s="5">
        <f>SUM(U3:U7)</f>
        <v>16</v>
      </c>
      <c r="V8" s="6">
        <f>SUM(V3:V7)</f>
        <v>1.5999999999999999</v>
      </c>
    </row>
    <row r="9" spans="1:23" ht="22.5" customHeight="1" x14ac:dyDescent="0.25">
      <c r="A9" s="3" t="s">
        <v>45</v>
      </c>
      <c r="B9" s="3" t="s">
        <v>46</v>
      </c>
      <c r="C9" s="5">
        <v>5</v>
      </c>
      <c r="D9" s="5">
        <v>5</v>
      </c>
      <c r="E9" s="5">
        <v>4</v>
      </c>
      <c r="F9" s="5">
        <v>4</v>
      </c>
      <c r="G9" s="5">
        <v>3</v>
      </c>
      <c r="H9" s="5">
        <v>4</v>
      </c>
      <c r="I9" s="5">
        <v>4</v>
      </c>
      <c r="J9" s="5">
        <v>3</v>
      </c>
      <c r="K9" s="5">
        <v>3</v>
      </c>
      <c r="L9" s="5">
        <v>4</v>
      </c>
      <c r="M9" s="5">
        <v>4</v>
      </c>
      <c r="N9" s="5">
        <v>5</v>
      </c>
      <c r="O9" s="7">
        <f>SUM(Form_Responses[[#This Row],[1. Bagaimana tingkat kepuasan terhadap kemudahan penggunaan Sistem Informasi POKLAHSAR?]:[12. Bagaimana tingkat kepuasan secara keseluruhan terhadap fitur Iuran Kelompok pada Sistem Informasi POKLAHSAR?]])/12</f>
        <v>4</v>
      </c>
      <c r="P9" s="5" t="str">
        <f>IF(Form_Responses[[#This Row],[Nilai Skor Total]]&lt;=1.8,"Sangat Tidak Puas",IF(Form_Responses[[#This Row],[Nilai Skor Total]]&lt;=2.6,"Tidak Puas",IF(Form_Responses[[#This Row],[Nilai Skor Total]]&lt;=3.4,"Puas",IF(Form_Responses[[#This Row],[Nilai Skor Total]]&lt;=4.2,"Cukup Puas",IF(Form_Responses[[#This Row],[Nilai Skor Total]]&lt;=5,"Sangat Puas")))))</f>
        <v>Cukup Puas</v>
      </c>
    </row>
    <row r="10" spans="1:23" ht="22.5" customHeight="1" x14ac:dyDescent="0.25">
      <c r="A10" s="3" t="s">
        <v>47</v>
      </c>
      <c r="B10" s="3" t="s">
        <v>48</v>
      </c>
      <c r="C10" s="5">
        <v>5</v>
      </c>
      <c r="D10" s="5">
        <v>4</v>
      </c>
      <c r="E10" s="5">
        <v>5</v>
      </c>
      <c r="F10" s="5">
        <v>4</v>
      </c>
      <c r="G10" s="5">
        <v>4</v>
      </c>
      <c r="H10" s="5">
        <v>3</v>
      </c>
      <c r="I10" s="5">
        <v>3</v>
      </c>
      <c r="J10" s="5">
        <v>4</v>
      </c>
      <c r="K10" s="5">
        <v>3</v>
      </c>
      <c r="L10" s="5">
        <v>3</v>
      </c>
      <c r="M10" s="5">
        <v>4</v>
      </c>
      <c r="N10" s="5">
        <v>4</v>
      </c>
      <c r="O10" s="7">
        <f>SUM(Form_Responses[[#This Row],[1. Bagaimana tingkat kepuasan terhadap kemudahan penggunaan Sistem Informasi POKLAHSAR?]:[12. Bagaimana tingkat kepuasan secara keseluruhan terhadap fitur Iuran Kelompok pada Sistem Informasi POKLAHSAR?]])/12</f>
        <v>3.8333333333333335</v>
      </c>
      <c r="P10" s="5" t="str">
        <f>IF(Form_Responses[[#This Row],[Nilai Skor Total]]&lt;=1.8,"Sangat Tidak Puas",IF(Form_Responses[[#This Row],[Nilai Skor Total]]&lt;=2.6,"Tidak Puas",IF(Form_Responses[[#This Row],[Nilai Skor Total]]&lt;=3.4,"Puas",IF(Form_Responses[[#This Row],[Nilai Skor Total]]&lt;=4.2,"Cukup Puas",IF(Form_Responses[[#This Row],[Nilai Skor Total]]&lt;=5,"Sangat Puas")))))</f>
        <v>Cukup Puas</v>
      </c>
    </row>
    <row r="11" spans="1:23" ht="22.5" customHeight="1" x14ac:dyDescent="0.25">
      <c r="A11" s="3" t="s">
        <v>49</v>
      </c>
      <c r="B11" s="3" t="s">
        <v>50</v>
      </c>
      <c r="C11" s="5">
        <v>5</v>
      </c>
      <c r="D11" s="5">
        <v>4</v>
      </c>
      <c r="E11" s="5">
        <v>4</v>
      </c>
      <c r="F11" s="5">
        <v>3</v>
      </c>
      <c r="G11" s="5">
        <v>3</v>
      </c>
      <c r="H11" s="5">
        <v>3</v>
      </c>
      <c r="I11" s="5">
        <v>4</v>
      </c>
      <c r="J11" s="5">
        <v>5</v>
      </c>
      <c r="K11" s="5">
        <v>4</v>
      </c>
      <c r="L11" s="5">
        <v>3</v>
      </c>
      <c r="M11" s="5">
        <v>4</v>
      </c>
      <c r="N11" s="5">
        <v>4</v>
      </c>
      <c r="O11" s="7">
        <f>SUM(Form_Responses[[#This Row],[1. Bagaimana tingkat kepuasan terhadap kemudahan penggunaan Sistem Informasi POKLAHSAR?]:[12. Bagaimana tingkat kepuasan secara keseluruhan terhadap fitur Iuran Kelompok pada Sistem Informasi POKLAHSAR?]])/12</f>
        <v>3.8333333333333335</v>
      </c>
      <c r="P11" s="5" t="str">
        <f>IF(Form_Responses[[#This Row],[Nilai Skor Total]]&lt;=1.8,"Sangat Tidak Puas",IF(Form_Responses[[#This Row],[Nilai Skor Total]]&lt;=2.6,"Tidak Puas",IF(Form_Responses[[#This Row],[Nilai Skor Total]]&lt;=3.4,"Puas",IF(Form_Responses[[#This Row],[Nilai Skor Total]]&lt;=4.2,"Cukup Puas",IF(Form_Responses[[#This Row],[Nilai Skor Total]]&lt;=5,"Sangat Puas")))))</f>
        <v>Cukup Puas</v>
      </c>
      <c r="W11" s="12"/>
    </row>
    <row r="12" spans="1:23" ht="15.75" customHeight="1" x14ac:dyDescent="0.25">
      <c r="A12" s="3" t="s">
        <v>51</v>
      </c>
      <c r="B12" s="3" t="s">
        <v>52</v>
      </c>
      <c r="C12" s="5">
        <v>5</v>
      </c>
      <c r="D12" s="5">
        <v>4</v>
      </c>
      <c r="E12" s="5">
        <v>3</v>
      </c>
      <c r="F12" s="5">
        <v>4</v>
      </c>
      <c r="G12" s="5">
        <v>3</v>
      </c>
      <c r="H12" s="5">
        <v>3</v>
      </c>
      <c r="I12" s="5">
        <v>4</v>
      </c>
      <c r="J12" s="5">
        <v>4</v>
      </c>
      <c r="K12" s="5">
        <v>3</v>
      </c>
      <c r="L12" s="5">
        <v>4</v>
      </c>
      <c r="M12" s="5">
        <v>5</v>
      </c>
      <c r="N12" s="5">
        <v>5</v>
      </c>
      <c r="O12" s="7">
        <f>SUM(Form_Responses[[#This Row],[1. Bagaimana tingkat kepuasan terhadap kemudahan penggunaan Sistem Informasi POKLAHSAR?]:[12. Bagaimana tingkat kepuasan secara keseluruhan terhadap fitur Iuran Kelompok pada Sistem Informasi POKLAHSAR?]])/12</f>
        <v>3.9166666666666665</v>
      </c>
      <c r="P12" s="5" t="str">
        <f>IF(Form_Responses[[#This Row],[Nilai Skor Total]]&lt;=1.8,"Sangat Tidak Puas",IF(Form_Responses[[#This Row],[Nilai Skor Total]]&lt;=2.6,"Tidak Puas",IF(Form_Responses[[#This Row],[Nilai Skor Total]]&lt;=3.4,"Puas",IF(Form_Responses[[#This Row],[Nilai Skor Total]]&lt;=4.2,"Cukup Puas",IF(Form_Responses[[#This Row],[Nilai Skor Total]]&lt;=5,"Sangat Puas")))))</f>
        <v>Cukup Puas</v>
      </c>
    </row>
    <row r="13" spans="1:23" ht="15.75" customHeight="1" x14ac:dyDescent="0.25">
      <c r="A13" s="3" t="s">
        <v>53</v>
      </c>
      <c r="B13" s="3" t="s">
        <v>54</v>
      </c>
      <c r="C13" s="5">
        <v>5</v>
      </c>
      <c r="D13" s="5">
        <v>4</v>
      </c>
      <c r="E13" s="5">
        <v>4</v>
      </c>
      <c r="F13" s="5">
        <v>5</v>
      </c>
      <c r="G13" s="5">
        <v>5</v>
      </c>
      <c r="H13" s="5">
        <v>4</v>
      </c>
      <c r="I13" s="5">
        <v>3</v>
      </c>
      <c r="J13" s="5">
        <v>3</v>
      </c>
      <c r="K13" s="5">
        <v>4</v>
      </c>
      <c r="L13" s="5">
        <v>3</v>
      </c>
      <c r="M13" s="5">
        <v>3</v>
      </c>
      <c r="N13" s="5">
        <v>5</v>
      </c>
      <c r="O13" s="7">
        <f>SUM(Form_Responses[[#This Row],[1. Bagaimana tingkat kepuasan terhadap kemudahan penggunaan Sistem Informasi POKLAHSAR?]:[12. Bagaimana tingkat kepuasan secara keseluruhan terhadap fitur Iuran Kelompok pada Sistem Informasi POKLAHSAR?]])/12</f>
        <v>4</v>
      </c>
      <c r="P13" s="5" t="str">
        <f>IF(Form_Responses[[#This Row],[Nilai Skor Total]]&lt;=1.8,"Sangat Tidak Puas",IF(Form_Responses[[#This Row],[Nilai Skor Total]]&lt;=2.6,"Tidak Puas",IF(Form_Responses[[#This Row],[Nilai Skor Total]]&lt;=3.4,"Puas",IF(Form_Responses[[#This Row],[Nilai Skor Total]]&lt;=4.2,"Cukup Puas",IF(Form_Responses[[#This Row],[Nilai Skor Total]]&lt;=5,"Sangat Puas")))))</f>
        <v>Cukup Puas</v>
      </c>
    </row>
    <row r="14" spans="1:23" ht="15.75" customHeight="1" x14ac:dyDescent="0.25">
      <c r="A14" s="3" t="s">
        <v>55</v>
      </c>
      <c r="B14" s="3" t="s">
        <v>56</v>
      </c>
      <c r="C14" s="5">
        <v>5</v>
      </c>
      <c r="D14" s="5">
        <v>5</v>
      </c>
      <c r="E14" s="5">
        <v>4</v>
      </c>
      <c r="F14" s="5">
        <v>3</v>
      </c>
      <c r="G14" s="5">
        <v>4</v>
      </c>
      <c r="H14" s="5">
        <v>4</v>
      </c>
      <c r="I14" s="5">
        <v>3</v>
      </c>
      <c r="J14" s="5">
        <v>3</v>
      </c>
      <c r="K14" s="5">
        <v>4</v>
      </c>
      <c r="L14" s="5">
        <v>4</v>
      </c>
      <c r="M14" s="5">
        <v>5</v>
      </c>
      <c r="N14" s="5">
        <v>5</v>
      </c>
      <c r="O14" s="7">
        <f>SUM(Form_Responses[[#This Row],[1. Bagaimana tingkat kepuasan terhadap kemudahan penggunaan Sistem Informasi POKLAHSAR?]:[12. Bagaimana tingkat kepuasan secara keseluruhan terhadap fitur Iuran Kelompok pada Sistem Informasi POKLAHSAR?]])/12</f>
        <v>4.083333333333333</v>
      </c>
      <c r="P14" s="5" t="str">
        <f>IF(Form_Responses[[#This Row],[Nilai Skor Total]]&lt;=1.8,"Sangat Tidak Puas",IF(Form_Responses[[#This Row],[Nilai Skor Total]]&lt;=2.6,"Tidak Puas",IF(Form_Responses[[#This Row],[Nilai Skor Total]]&lt;=3.4,"Puas",IF(Form_Responses[[#This Row],[Nilai Skor Total]]&lt;=4.2,"Cukup Puas",IF(Form_Responses[[#This Row],[Nilai Skor Total]]&lt;=5,"Sangat Puas")))))</f>
        <v>Cukup Puas</v>
      </c>
    </row>
    <row r="15" spans="1:23" ht="15.75" customHeight="1" x14ac:dyDescent="0.25">
      <c r="A15" s="3" t="s">
        <v>57</v>
      </c>
      <c r="B15" s="3" t="s">
        <v>58</v>
      </c>
      <c r="C15" s="5">
        <v>5</v>
      </c>
      <c r="D15" s="5">
        <v>4</v>
      </c>
      <c r="E15" s="5">
        <v>3</v>
      </c>
      <c r="F15" s="5">
        <v>4</v>
      </c>
      <c r="G15" s="5">
        <v>4</v>
      </c>
      <c r="H15" s="5">
        <v>5</v>
      </c>
      <c r="I15" s="5">
        <v>5</v>
      </c>
      <c r="J15" s="5">
        <v>3</v>
      </c>
      <c r="K15" s="5">
        <v>3</v>
      </c>
      <c r="L15" s="5">
        <v>4</v>
      </c>
      <c r="M15" s="5">
        <v>4</v>
      </c>
      <c r="N15" s="5">
        <v>4</v>
      </c>
      <c r="O15" s="7">
        <f>SUM(Form_Responses[[#This Row],[1. Bagaimana tingkat kepuasan terhadap kemudahan penggunaan Sistem Informasi POKLAHSAR?]:[12. Bagaimana tingkat kepuasan secara keseluruhan terhadap fitur Iuran Kelompok pada Sistem Informasi POKLAHSAR?]])/12</f>
        <v>4</v>
      </c>
      <c r="P15" s="5" t="str">
        <f>IF(Form_Responses[[#This Row],[Nilai Skor Total]]&lt;=1.8,"Sangat Tidak Puas",IF(Form_Responses[[#This Row],[Nilai Skor Total]]&lt;=2.6,"Tidak Puas",IF(Form_Responses[[#This Row],[Nilai Skor Total]]&lt;=3.4,"Puas",IF(Form_Responses[[#This Row],[Nilai Skor Total]]&lt;=4.2,"Cukup Puas",IF(Form_Responses[[#This Row],[Nilai Skor Total]]&lt;=5,"Sangat Puas")))))</f>
        <v>Cukup Puas</v>
      </c>
    </row>
    <row r="16" spans="1:23" ht="15.75" customHeight="1" x14ac:dyDescent="0.25">
      <c r="A16" s="3" t="s">
        <v>59</v>
      </c>
      <c r="B16" s="3" t="s">
        <v>60</v>
      </c>
      <c r="C16" s="5">
        <v>5</v>
      </c>
      <c r="D16" s="5">
        <v>4</v>
      </c>
      <c r="E16" s="5">
        <v>3</v>
      </c>
      <c r="F16" s="5">
        <v>5</v>
      </c>
      <c r="G16" s="5">
        <v>5</v>
      </c>
      <c r="H16" s="5">
        <v>5</v>
      </c>
      <c r="I16" s="5">
        <v>3</v>
      </c>
      <c r="J16" s="5">
        <v>3</v>
      </c>
      <c r="K16" s="5">
        <v>4</v>
      </c>
      <c r="L16" s="5">
        <v>4</v>
      </c>
      <c r="M16" s="5">
        <v>3</v>
      </c>
      <c r="N16" s="5">
        <v>3</v>
      </c>
      <c r="O16" s="7">
        <f>SUM(Form_Responses[[#This Row],[1. Bagaimana tingkat kepuasan terhadap kemudahan penggunaan Sistem Informasi POKLAHSAR?]:[12. Bagaimana tingkat kepuasan secara keseluruhan terhadap fitur Iuran Kelompok pada Sistem Informasi POKLAHSAR?]])/12</f>
        <v>3.9166666666666665</v>
      </c>
      <c r="P16" s="5" t="str">
        <f>IF(Form_Responses[[#This Row],[Nilai Skor Total]]&lt;=1.8,"Sangat Tidak Puas",IF(Form_Responses[[#This Row],[Nilai Skor Total]]&lt;=2.6,"Tidak Puas",IF(Form_Responses[[#This Row],[Nilai Skor Total]]&lt;=3.4,"Puas",IF(Form_Responses[[#This Row],[Nilai Skor Total]]&lt;=4.2,"Cukup Puas",IF(Form_Responses[[#This Row],[Nilai Skor Total]]&lt;=5,"Sangat Puas")))))</f>
        <v>Cukup Puas</v>
      </c>
    </row>
    <row r="17" spans="1:16" ht="15.75" customHeight="1" x14ac:dyDescent="0.25">
      <c r="A17" s="3" t="s">
        <v>61</v>
      </c>
      <c r="B17" s="3" t="s">
        <v>62</v>
      </c>
      <c r="C17" s="5">
        <v>5</v>
      </c>
      <c r="D17" s="5">
        <v>4</v>
      </c>
      <c r="E17" s="5">
        <v>3</v>
      </c>
      <c r="F17" s="5">
        <v>4</v>
      </c>
      <c r="G17" s="5">
        <v>4</v>
      </c>
      <c r="H17" s="5">
        <v>3</v>
      </c>
      <c r="I17" s="5">
        <v>3</v>
      </c>
      <c r="J17" s="5">
        <v>4</v>
      </c>
      <c r="K17" s="5">
        <v>3</v>
      </c>
      <c r="L17" s="5">
        <v>4</v>
      </c>
      <c r="M17" s="5">
        <v>4</v>
      </c>
      <c r="N17" s="5">
        <v>5</v>
      </c>
      <c r="O17" s="7">
        <f>SUM(Form_Responses[[#This Row],[1. Bagaimana tingkat kepuasan terhadap kemudahan penggunaan Sistem Informasi POKLAHSAR?]:[12. Bagaimana tingkat kepuasan secara keseluruhan terhadap fitur Iuran Kelompok pada Sistem Informasi POKLAHSAR?]])/12</f>
        <v>3.8333333333333335</v>
      </c>
      <c r="P17" s="5" t="str">
        <f>IF(Form_Responses[[#This Row],[Nilai Skor Total]]&lt;=1.8,"Sangat Tidak Puas",IF(Form_Responses[[#This Row],[Nilai Skor Total]]&lt;=2.6,"Tidak Puas",IF(Form_Responses[[#This Row],[Nilai Skor Total]]&lt;=3.4,"Puas",IF(Form_Responses[[#This Row],[Nilai Skor Total]]&lt;=4.2,"Cukup Puas",IF(Form_Responses[[#This Row],[Nilai Skor Total]]&lt;=5,"Sangat Puas")))))</f>
        <v>Cukup Puas</v>
      </c>
    </row>
    <row r="18" spans="1:16" ht="15.75" customHeight="1" x14ac:dyDescent="0.25"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P18" s="12"/>
    </row>
    <row r="19" spans="1:16" ht="15.75" customHeight="1" x14ac:dyDescent="0.25">
      <c r="C19" s="12"/>
      <c r="D19" s="12"/>
      <c r="E19" s="12"/>
      <c r="F19" s="12"/>
      <c r="G19" s="12"/>
      <c r="H19" s="12"/>
      <c r="I19" s="9"/>
      <c r="J19" s="9"/>
      <c r="K19" s="9"/>
      <c r="L19" s="9"/>
      <c r="M19" s="9"/>
      <c r="N19" s="12"/>
      <c r="O19" s="1"/>
      <c r="P19" s="12"/>
    </row>
    <row r="20" spans="1:16" ht="15.75" customHeight="1" x14ac:dyDescent="0.25">
      <c r="C20" s="12"/>
      <c r="D20" s="12"/>
      <c r="E20" s="12"/>
      <c r="F20" s="12"/>
      <c r="G20" s="12"/>
      <c r="H20" s="12"/>
      <c r="I20" s="10"/>
      <c r="J20" s="10"/>
      <c r="K20" s="10"/>
      <c r="L20" s="10"/>
      <c r="M20" s="11"/>
      <c r="N20" s="12"/>
      <c r="O20" s="1"/>
      <c r="P20" s="12"/>
    </row>
    <row r="21" spans="1:16" ht="15.75" customHeight="1" x14ac:dyDescent="0.25">
      <c r="C21" s="12"/>
      <c r="D21" s="12"/>
      <c r="E21" s="12"/>
      <c r="F21" s="12"/>
      <c r="G21" s="12"/>
      <c r="H21" s="12"/>
      <c r="I21" s="10"/>
      <c r="J21" s="10"/>
      <c r="K21" s="10"/>
      <c r="L21" s="10"/>
      <c r="M21" s="11"/>
      <c r="N21" s="12"/>
      <c r="O21" s="1"/>
      <c r="P21" s="12"/>
    </row>
    <row r="22" spans="1:16" ht="15.75" customHeight="1" x14ac:dyDescent="0.25">
      <c r="C22" s="12"/>
      <c r="D22" s="12"/>
      <c r="E22" s="12"/>
      <c r="F22" s="12"/>
      <c r="G22" s="12"/>
      <c r="H22" s="12"/>
      <c r="I22" s="10"/>
      <c r="J22" s="10"/>
      <c r="K22" s="10"/>
      <c r="L22" s="10"/>
      <c r="M22" s="11"/>
      <c r="N22" s="12"/>
      <c r="O22" s="1"/>
      <c r="P22" s="12"/>
    </row>
    <row r="23" spans="1:16" ht="15.75" customHeight="1" x14ac:dyDescent="0.25">
      <c r="C23" s="12"/>
      <c r="D23" s="12"/>
      <c r="E23" s="12"/>
      <c r="F23" s="12"/>
      <c r="G23" s="12"/>
      <c r="H23" s="12"/>
      <c r="I23" s="10"/>
      <c r="J23" s="10"/>
      <c r="K23" s="10"/>
      <c r="L23" s="10"/>
      <c r="M23" s="11"/>
      <c r="N23" s="12"/>
      <c r="O23" s="1"/>
      <c r="P23" s="12"/>
    </row>
    <row r="24" spans="1:16" ht="15.75" customHeight="1" x14ac:dyDescent="0.25">
      <c r="C24" s="12"/>
      <c r="D24" s="12"/>
      <c r="E24" s="12"/>
      <c r="F24" s="12"/>
      <c r="G24" s="12"/>
      <c r="H24" s="12"/>
      <c r="I24" s="10"/>
      <c r="J24" s="10"/>
      <c r="K24" s="10"/>
      <c r="L24" s="10"/>
      <c r="M24" s="11"/>
      <c r="N24" s="12"/>
      <c r="O24" s="2"/>
      <c r="P24" s="12"/>
    </row>
    <row r="25" spans="1:16" ht="15.75" customHeight="1" x14ac:dyDescent="0.25">
      <c r="C25" s="12"/>
      <c r="D25" s="12"/>
      <c r="E25" s="12"/>
      <c r="F25" s="12"/>
      <c r="G25" s="12"/>
      <c r="H25" s="12"/>
      <c r="I25" s="10"/>
      <c r="J25" s="10"/>
      <c r="K25" s="10"/>
      <c r="L25" s="10"/>
      <c r="M25" s="11"/>
      <c r="N25" s="12"/>
      <c r="P25" s="12"/>
    </row>
    <row r="26" spans="1:16" ht="15.75" customHeight="1" x14ac:dyDescent="0.25">
      <c r="B26" s="8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P26" s="12"/>
    </row>
    <row r="27" spans="1:16" ht="15.75" customHeight="1" x14ac:dyDescent="0.25"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P27" s="12"/>
    </row>
    <row r="28" spans="1:16" ht="15.75" customHeight="1" x14ac:dyDescent="0.25"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P28" s="12"/>
    </row>
    <row r="29" spans="1:16" ht="15.75" customHeight="1" x14ac:dyDescent="0.25"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P29" s="12"/>
    </row>
    <row r="30" spans="1:16" ht="15.75" customHeight="1" x14ac:dyDescent="0.25"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P30" s="12"/>
    </row>
    <row r="31" spans="1:16" ht="15.75" customHeight="1" x14ac:dyDescent="0.25"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P31" s="12"/>
    </row>
    <row r="32" spans="1:16" ht="15.75" customHeight="1" x14ac:dyDescent="0.25"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P32" s="12"/>
    </row>
    <row r="33" spans="3:16" ht="15.75" customHeight="1" x14ac:dyDescent="0.25"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P33" s="12"/>
    </row>
    <row r="34" spans="3:16" ht="15.75" customHeight="1" x14ac:dyDescent="0.25"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P34" s="12"/>
    </row>
    <row r="35" spans="3:16" ht="15.75" customHeight="1" x14ac:dyDescent="0.25"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P35" s="12"/>
    </row>
    <row r="36" spans="3:16" ht="15.75" customHeight="1" x14ac:dyDescent="0.25"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P36" s="12"/>
    </row>
    <row r="37" spans="3:16" ht="15.75" customHeight="1" x14ac:dyDescent="0.25"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P37" s="12"/>
    </row>
    <row r="38" spans="3:16" ht="15.75" customHeight="1" x14ac:dyDescent="0.25"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P38" s="12"/>
    </row>
    <row r="39" spans="3:16" ht="15.75" customHeight="1" x14ac:dyDescent="0.25"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P39" s="12"/>
    </row>
    <row r="40" spans="3:16" ht="15.75" customHeight="1" x14ac:dyDescent="0.25"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P40" s="12"/>
    </row>
    <row r="41" spans="3:16" ht="15.75" customHeight="1" x14ac:dyDescent="0.25"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P41" s="12"/>
    </row>
    <row r="42" spans="3:16" ht="15.75" customHeight="1" x14ac:dyDescent="0.25"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P42" s="12"/>
    </row>
    <row r="43" spans="3:16" ht="15.75" customHeight="1" x14ac:dyDescent="0.25"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P43" s="12"/>
    </row>
    <row r="44" spans="3:16" ht="15.75" customHeight="1" x14ac:dyDescent="0.25"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P44" s="12"/>
    </row>
    <row r="45" spans="3:16" ht="15.75" customHeight="1" x14ac:dyDescent="0.25"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P45" s="12"/>
    </row>
    <row r="46" spans="3:16" ht="15.75" customHeight="1" x14ac:dyDescent="0.25"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P46" s="12"/>
    </row>
    <row r="47" spans="3:16" ht="15.75" customHeight="1" x14ac:dyDescent="0.25"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P47" s="12"/>
    </row>
    <row r="48" spans="3:16" ht="15.75" customHeight="1" x14ac:dyDescent="0.25"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P48" s="12"/>
    </row>
    <row r="49" spans="3:16" ht="15.75" customHeight="1" x14ac:dyDescent="0.25"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P49" s="12"/>
    </row>
    <row r="50" spans="3:16" ht="15.75" customHeight="1" x14ac:dyDescent="0.25"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P50" s="12"/>
    </row>
    <row r="51" spans="3:16" ht="15.75" customHeight="1" x14ac:dyDescent="0.25"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P51" s="12"/>
    </row>
    <row r="52" spans="3:16" ht="15.75" customHeight="1" x14ac:dyDescent="0.25"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P52" s="12"/>
    </row>
    <row r="53" spans="3:16" ht="15.75" customHeight="1" x14ac:dyDescent="0.25"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P53" s="12"/>
    </row>
    <row r="54" spans="3:16" ht="15.75" customHeight="1" x14ac:dyDescent="0.25"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P54" s="12"/>
    </row>
    <row r="55" spans="3:16" ht="15.75" customHeight="1" x14ac:dyDescent="0.25"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P55" s="12"/>
    </row>
    <row r="56" spans="3:16" ht="15.75" customHeight="1" x14ac:dyDescent="0.25"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P56" s="12"/>
    </row>
    <row r="57" spans="3:16" ht="15.75" customHeight="1" x14ac:dyDescent="0.25"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P57" s="12"/>
    </row>
    <row r="58" spans="3:16" ht="15.75" customHeight="1" x14ac:dyDescent="0.25"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P58" s="12"/>
    </row>
    <row r="59" spans="3:16" ht="15.75" customHeight="1" x14ac:dyDescent="0.25"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P59" s="12"/>
    </row>
    <row r="60" spans="3:16" ht="15.75" customHeight="1" x14ac:dyDescent="0.25"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P60" s="12"/>
    </row>
    <row r="61" spans="3:16" ht="15.75" customHeight="1" x14ac:dyDescent="0.25"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P61" s="12"/>
    </row>
    <row r="62" spans="3:16" ht="15.75" customHeight="1" x14ac:dyDescent="0.25"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P62" s="12"/>
    </row>
    <row r="63" spans="3:16" ht="15.75" customHeight="1" x14ac:dyDescent="0.25"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P63" s="12"/>
    </row>
    <row r="64" spans="3:16" ht="15.75" customHeight="1" x14ac:dyDescent="0.25"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P64" s="12"/>
    </row>
    <row r="65" spans="3:16" ht="15.75" customHeight="1" x14ac:dyDescent="0.25"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P65" s="12"/>
    </row>
    <row r="66" spans="3:16" ht="15.75" customHeight="1" x14ac:dyDescent="0.25"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P66" s="12"/>
    </row>
    <row r="67" spans="3:16" ht="15.75" customHeight="1" x14ac:dyDescent="0.25"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P67" s="12"/>
    </row>
    <row r="68" spans="3:16" ht="15.75" customHeight="1" x14ac:dyDescent="0.25"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P68" s="12"/>
    </row>
    <row r="69" spans="3:16" ht="15.75" customHeight="1" x14ac:dyDescent="0.25"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P69" s="12"/>
    </row>
    <row r="70" spans="3:16" ht="15.75" customHeight="1" x14ac:dyDescent="0.25"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P70" s="12"/>
    </row>
    <row r="71" spans="3:16" ht="15.75" customHeight="1" x14ac:dyDescent="0.25"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P71" s="12"/>
    </row>
    <row r="72" spans="3:16" ht="15.75" customHeight="1" x14ac:dyDescent="0.25"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P72" s="12"/>
    </row>
    <row r="73" spans="3:16" ht="15.75" customHeight="1" x14ac:dyDescent="0.25"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P73" s="12"/>
    </row>
    <row r="74" spans="3:16" ht="15.75" customHeight="1" x14ac:dyDescent="0.25"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P74" s="12"/>
    </row>
    <row r="75" spans="3:16" ht="15.75" customHeight="1" x14ac:dyDescent="0.25"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P75" s="12"/>
    </row>
    <row r="76" spans="3:16" ht="15.75" customHeight="1" x14ac:dyDescent="0.25"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P76" s="12"/>
    </row>
    <row r="77" spans="3:16" ht="15.75" customHeight="1" x14ac:dyDescent="0.25"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P77" s="12"/>
    </row>
    <row r="78" spans="3:16" ht="15.75" customHeight="1" x14ac:dyDescent="0.25"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P78" s="12"/>
    </row>
    <row r="79" spans="3:16" ht="15.75" customHeight="1" x14ac:dyDescent="0.25"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P79" s="12"/>
    </row>
    <row r="80" spans="3:16" ht="15.75" customHeight="1" x14ac:dyDescent="0.25"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P80" s="12"/>
    </row>
    <row r="81" spans="3:16" ht="15.75" customHeight="1" x14ac:dyDescent="0.25"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P81" s="12"/>
    </row>
    <row r="82" spans="3:16" ht="15.75" customHeight="1" x14ac:dyDescent="0.25"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P82" s="12"/>
    </row>
    <row r="83" spans="3:16" ht="15.75" customHeight="1" x14ac:dyDescent="0.25"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P83" s="12"/>
    </row>
    <row r="84" spans="3:16" ht="15.75" customHeight="1" x14ac:dyDescent="0.25"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P84" s="12"/>
    </row>
    <row r="85" spans="3:16" ht="15.75" customHeight="1" x14ac:dyDescent="0.25"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P85" s="12"/>
    </row>
    <row r="86" spans="3:16" ht="15.75" customHeight="1" x14ac:dyDescent="0.25"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P86" s="12"/>
    </row>
    <row r="87" spans="3:16" ht="15.75" customHeight="1" x14ac:dyDescent="0.25"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P87" s="12"/>
    </row>
    <row r="88" spans="3:16" ht="15.75" customHeight="1" x14ac:dyDescent="0.25"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P88" s="12"/>
    </row>
    <row r="89" spans="3:16" ht="15.75" customHeight="1" x14ac:dyDescent="0.25"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P89" s="12"/>
    </row>
    <row r="90" spans="3:16" ht="15.75" customHeight="1" x14ac:dyDescent="0.25"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P90" s="12"/>
    </row>
    <row r="91" spans="3:16" ht="15.75" customHeight="1" x14ac:dyDescent="0.25"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P91" s="12"/>
    </row>
    <row r="92" spans="3:16" ht="15.75" customHeight="1" x14ac:dyDescent="0.25"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P92" s="12"/>
    </row>
    <row r="93" spans="3:16" ht="15.75" customHeight="1" x14ac:dyDescent="0.25"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P93" s="12"/>
    </row>
    <row r="94" spans="3:16" ht="15.75" customHeight="1" x14ac:dyDescent="0.25"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P94" s="12"/>
    </row>
    <row r="95" spans="3:16" ht="15.75" customHeight="1" x14ac:dyDescent="0.25"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P95" s="12"/>
    </row>
    <row r="96" spans="3:16" ht="15.75" customHeight="1" x14ac:dyDescent="0.25"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P96" s="12"/>
    </row>
    <row r="97" spans="3:16" ht="15.75" customHeight="1" x14ac:dyDescent="0.25"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P97" s="12"/>
    </row>
    <row r="98" spans="3:16" ht="15.75" customHeight="1" x14ac:dyDescent="0.25"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P98" s="12"/>
    </row>
    <row r="99" spans="3:16" ht="15.75" customHeight="1" x14ac:dyDescent="0.25"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P99" s="12"/>
    </row>
    <row r="100" spans="3:16" ht="15.75" customHeight="1" x14ac:dyDescent="0.25"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P100" s="12"/>
    </row>
    <row r="101" spans="3:16" ht="15.75" customHeight="1" x14ac:dyDescent="0.25"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P101" s="12"/>
    </row>
    <row r="102" spans="3:16" ht="15.75" customHeight="1" x14ac:dyDescent="0.25"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P102" s="12"/>
    </row>
    <row r="103" spans="3:16" ht="15.75" customHeight="1" x14ac:dyDescent="0.25"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P103" s="12"/>
    </row>
    <row r="104" spans="3:16" ht="15.75" customHeight="1" x14ac:dyDescent="0.25"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P104" s="12"/>
    </row>
    <row r="105" spans="3:16" ht="15.75" customHeight="1" x14ac:dyDescent="0.25"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P105" s="12"/>
    </row>
    <row r="106" spans="3:16" ht="15.75" customHeight="1" x14ac:dyDescent="0.25"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P106" s="12"/>
    </row>
    <row r="107" spans="3:16" ht="15.75" customHeight="1" x14ac:dyDescent="0.25"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P107" s="12"/>
    </row>
    <row r="108" spans="3:16" ht="15.75" customHeight="1" x14ac:dyDescent="0.25"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P108" s="12"/>
    </row>
    <row r="109" spans="3:16" ht="15.75" customHeight="1" x14ac:dyDescent="0.25"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P109" s="12"/>
    </row>
    <row r="110" spans="3:16" ht="15.75" customHeight="1" x14ac:dyDescent="0.25"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P110" s="12"/>
    </row>
    <row r="111" spans="3:16" ht="15.75" customHeight="1" x14ac:dyDescent="0.25"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P111" s="12"/>
    </row>
    <row r="112" spans="3:16" ht="15.75" customHeight="1" x14ac:dyDescent="0.25"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P112" s="12"/>
    </row>
    <row r="113" spans="3:16" ht="15.75" customHeight="1" x14ac:dyDescent="0.25"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P113" s="12"/>
    </row>
    <row r="114" spans="3:16" ht="15.75" customHeight="1" x14ac:dyDescent="0.25"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P114" s="12"/>
    </row>
    <row r="115" spans="3:16" ht="15.75" customHeight="1" x14ac:dyDescent="0.25"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P115" s="12"/>
    </row>
    <row r="116" spans="3:16" ht="15.75" customHeight="1" x14ac:dyDescent="0.25"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P116" s="12"/>
    </row>
    <row r="117" spans="3:16" ht="15.75" customHeight="1" x14ac:dyDescent="0.25"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P117" s="12"/>
    </row>
    <row r="118" spans="3:16" ht="15.75" customHeight="1" x14ac:dyDescent="0.25"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P118" s="12"/>
    </row>
    <row r="119" spans="3:16" ht="15.75" customHeight="1" x14ac:dyDescent="0.25"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P119" s="12"/>
    </row>
    <row r="120" spans="3:16" ht="15.75" customHeight="1" x14ac:dyDescent="0.25"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P120" s="12"/>
    </row>
    <row r="121" spans="3:16" ht="15.75" customHeight="1" x14ac:dyDescent="0.25"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P121" s="12"/>
    </row>
    <row r="122" spans="3:16" ht="15.75" customHeight="1" x14ac:dyDescent="0.25"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P122" s="12"/>
    </row>
    <row r="123" spans="3:16" ht="15.75" customHeight="1" x14ac:dyDescent="0.25"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P123" s="12"/>
    </row>
    <row r="124" spans="3:16" ht="15.75" customHeight="1" x14ac:dyDescent="0.25"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P124" s="12"/>
    </row>
    <row r="125" spans="3:16" ht="15.75" customHeight="1" x14ac:dyDescent="0.25"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P125" s="12"/>
    </row>
    <row r="126" spans="3:16" ht="15.75" customHeight="1" x14ac:dyDescent="0.25"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P126" s="12"/>
    </row>
    <row r="127" spans="3:16" ht="15.75" customHeight="1" x14ac:dyDescent="0.25"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P127" s="12"/>
    </row>
    <row r="128" spans="3:16" ht="15.75" customHeight="1" x14ac:dyDescent="0.25"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P128" s="12"/>
    </row>
    <row r="129" spans="3:16" ht="15.75" customHeight="1" x14ac:dyDescent="0.25"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P129" s="12"/>
    </row>
    <row r="130" spans="3:16" ht="15.75" customHeight="1" x14ac:dyDescent="0.25"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P130" s="12"/>
    </row>
    <row r="131" spans="3:16" ht="15.75" customHeight="1" x14ac:dyDescent="0.25"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P131" s="12"/>
    </row>
    <row r="132" spans="3:16" ht="15.75" customHeight="1" x14ac:dyDescent="0.25"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P132" s="12"/>
    </row>
    <row r="133" spans="3:16" ht="15.75" customHeight="1" x14ac:dyDescent="0.25"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P133" s="12"/>
    </row>
    <row r="134" spans="3:16" ht="15.75" customHeight="1" x14ac:dyDescent="0.25"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P134" s="12"/>
    </row>
    <row r="135" spans="3:16" ht="15.75" customHeight="1" x14ac:dyDescent="0.25"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P135" s="12"/>
    </row>
    <row r="136" spans="3:16" ht="15.75" customHeight="1" x14ac:dyDescent="0.25"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P136" s="12"/>
    </row>
    <row r="137" spans="3:16" ht="15.75" customHeight="1" x14ac:dyDescent="0.25"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P137" s="12"/>
    </row>
    <row r="138" spans="3:16" ht="15.75" customHeight="1" x14ac:dyDescent="0.25"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P138" s="12"/>
    </row>
    <row r="139" spans="3:16" ht="15.75" customHeight="1" x14ac:dyDescent="0.25"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P139" s="12"/>
    </row>
    <row r="140" spans="3:16" ht="15.75" customHeight="1" x14ac:dyDescent="0.25"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P140" s="12"/>
    </row>
    <row r="141" spans="3:16" ht="15.75" customHeight="1" x14ac:dyDescent="0.25"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P141" s="12"/>
    </row>
    <row r="142" spans="3:16" ht="15.75" customHeight="1" x14ac:dyDescent="0.25"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P142" s="12"/>
    </row>
    <row r="143" spans="3:16" ht="15.75" customHeight="1" x14ac:dyDescent="0.25"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P143" s="12"/>
    </row>
    <row r="144" spans="3:16" ht="15.75" customHeight="1" x14ac:dyDescent="0.25"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P144" s="12"/>
    </row>
    <row r="145" spans="3:16" ht="15.75" customHeight="1" x14ac:dyDescent="0.25"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P145" s="12"/>
    </row>
    <row r="146" spans="3:16" ht="15.75" customHeight="1" x14ac:dyDescent="0.25"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P146" s="12"/>
    </row>
    <row r="147" spans="3:16" ht="15.75" customHeight="1" x14ac:dyDescent="0.25"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P147" s="12"/>
    </row>
    <row r="148" spans="3:16" ht="15.75" customHeight="1" x14ac:dyDescent="0.25"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P148" s="12"/>
    </row>
    <row r="149" spans="3:16" ht="15.75" customHeight="1" x14ac:dyDescent="0.25"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P149" s="12"/>
    </row>
    <row r="150" spans="3:16" ht="15.75" customHeight="1" x14ac:dyDescent="0.25"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P150" s="12"/>
    </row>
    <row r="151" spans="3:16" ht="15.75" customHeight="1" x14ac:dyDescent="0.25"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P151" s="12"/>
    </row>
    <row r="152" spans="3:16" ht="15.75" customHeight="1" x14ac:dyDescent="0.25"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P152" s="12"/>
    </row>
    <row r="153" spans="3:16" ht="15.75" customHeight="1" x14ac:dyDescent="0.25"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P153" s="12"/>
    </row>
    <row r="154" spans="3:16" ht="15.75" customHeight="1" x14ac:dyDescent="0.25"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P154" s="12"/>
    </row>
    <row r="155" spans="3:16" ht="15.75" customHeight="1" x14ac:dyDescent="0.25"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P155" s="12"/>
    </row>
    <row r="156" spans="3:16" ht="15.75" customHeight="1" x14ac:dyDescent="0.25"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P156" s="12"/>
    </row>
    <row r="157" spans="3:16" ht="15.75" customHeight="1" x14ac:dyDescent="0.25"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P157" s="12"/>
    </row>
    <row r="158" spans="3:16" ht="15.75" customHeight="1" x14ac:dyDescent="0.25"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P158" s="12"/>
    </row>
    <row r="159" spans="3:16" ht="15.75" customHeight="1" x14ac:dyDescent="0.25"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P159" s="12"/>
    </row>
    <row r="160" spans="3:16" ht="15.75" customHeight="1" x14ac:dyDescent="0.25"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P160" s="12"/>
    </row>
    <row r="161" spans="3:16" ht="15.75" customHeight="1" x14ac:dyDescent="0.25"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P161" s="12"/>
    </row>
    <row r="162" spans="3:16" ht="15.75" customHeight="1" x14ac:dyDescent="0.25"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P162" s="12"/>
    </row>
    <row r="163" spans="3:16" ht="15.75" customHeight="1" x14ac:dyDescent="0.25"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P163" s="12"/>
    </row>
    <row r="164" spans="3:16" ht="15.75" customHeight="1" x14ac:dyDescent="0.25"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P164" s="12"/>
    </row>
    <row r="165" spans="3:16" ht="15.75" customHeight="1" x14ac:dyDescent="0.25"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P165" s="12"/>
    </row>
    <row r="166" spans="3:16" ht="15.75" customHeight="1" x14ac:dyDescent="0.25"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P166" s="12"/>
    </row>
    <row r="167" spans="3:16" ht="15.75" customHeight="1" x14ac:dyDescent="0.25"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P167" s="12"/>
    </row>
    <row r="168" spans="3:16" ht="15.75" customHeight="1" x14ac:dyDescent="0.25"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P168" s="12"/>
    </row>
    <row r="169" spans="3:16" ht="15.75" customHeight="1" x14ac:dyDescent="0.25"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P169" s="12"/>
    </row>
    <row r="170" spans="3:16" ht="15.75" customHeight="1" x14ac:dyDescent="0.25"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P170" s="12"/>
    </row>
    <row r="171" spans="3:16" ht="15.75" customHeight="1" x14ac:dyDescent="0.25"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P171" s="12"/>
    </row>
    <row r="172" spans="3:16" ht="15.75" customHeight="1" x14ac:dyDescent="0.25"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P172" s="12"/>
    </row>
    <row r="173" spans="3:16" ht="15.75" customHeight="1" x14ac:dyDescent="0.25"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P173" s="12"/>
    </row>
    <row r="174" spans="3:16" ht="15.75" customHeight="1" x14ac:dyDescent="0.25"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P174" s="12"/>
    </row>
    <row r="175" spans="3:16" ht="15.75" customHeight="1" x14ac:dyDescent="0.25"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P175" s="12"/>
    </row>
    <row r="176" spans="3:16" ht="15.75" customHeight="1" x14ac:dyDescent="0.25"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P176" s="12"/>
    </row>
    <row r="177" spans="3:16" ht="15.75" customHeight="1" x14ac:dyDescent="0.25"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P177" s="12"/>
    </row>
    <row r="178" spans="3:16" ht="15.75" customHeight="1" x14ac:dyDescent="0.25"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P178" s="12"/>
    </row>
    <row r="179" spans="3:16" ht="15.75" customHeight="1" x14ac:dyDescent="0.25"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P179" s="12"/>
    </row>
    <row r="180" spans="3:16" ht="15.75" customHeight="1" x14ac:dyDescent="0.25"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P180" s="12"/>
    </row>
    <row r="181" spans="3:16" ht="15.75" customHeight="1" x14ac:dyDescent="0.25"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P181" s="12"/>
    </row>
    <row r="182" spans="3:16" ht="15.75" customHeight="1" x14ac:dyDescent="0.25"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P182" s="12"/>
    </row>
    <row r="183" spans="3:16" ht="15.75" customHeight="1" x14ac:dyDescent="0.25"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P183" s="12"/>
    </row>
    <row r="184" spans="3:16" ht="15.75" customHeight="1" x14ac:dyDescent="0.25"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P184" s="12"/>
    </row>
    <row r="185" spans="3:16" ht="15.75" customHeight="1" x14ac:dyDescent="0.25"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P185" s="12"/>
    </row>
    <row r="186" spans="3:16" ht="15.75" customHeight="1" x14ac:dyDescent="0.25"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P186" s="12"/>
    </row>
    <row r="187" spans="3:16" ht="15.75" customHeight="1" x14ac:dyDescent="0.25"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P187" s="12"/>
    </row>
    <row r="188" spans="3:16" ht="15.75" customHeight="1" x14ac:dyDescent="0.25"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P188" s="12"/>
    </row>
    <row r="189" spans="3:16" ht="15.75" customHeight="1" x14ac:dyDescent="0.25"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P189" s="12"/>
    </row>
    <row r="190" spans="3:16" ht="15.75" customHeight="1" x14ac:dyDescent="0.25"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P190" s="12"/>
    </row>
    <row r="191" spans="3:16" ht="15.75" customHeight="1" x14ac:dyDescent="0.25"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P191" s="12"/>
    </row>
    <row r="192" spans="3:16" ht="15.75" customHeight="1" x14ac:dyDescent="0.25"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P192" s="12"/>
    </row>
    <row r="193" spans="3:16" ht="15.75" customHeight="1" x14ac:dyDescent="0.25"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P193" s="12"/>
    </row>
    <row r="194" spans="3:16" ht="15.75" customHeight="1" x14ac:dyDescent="0.25"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P194" s="12"/>
    </row>
    <row r="195" spans="3:16" ht="15.75" customHeight="1" x14ac:dyDescent="0.25"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P195" s="12"/>
    </row>
    <row r="196" spans="3:16" ht="15.75" customHeight="1" x14ac:dyDescent="0.25"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P196" s="12"/>
    </row>
    <row r="197" spans="3:16" ht="15.75" customHeight="1" x14ac:dyDescent="0.25"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P197" s="12"/>
    </row>
    <row r="198" spans="3:16" ht="15.75" customHeight="1" x14ac:dyDescent="0.25"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P198" s="12"/>
    </row>
    <row r="199" spans="3:16" ht="15.75" customHeight="1" x14ac:dyDescent="0.25"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P199" s="12"/>
    </row>
    <row r="200" spans="3:16" ht="15.75" customHeight="1" x14ac:dyDescent="0.25"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P200" s="12"/>
    </row>
    <row r="201" spans="3:16" ht="15.75" customHeight="1" x14ac:dyDescent="0.25"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P201" s="12"/>
    </row>
    <row r="202" spans="3:16" ht="15.75" customHeight="1" x14ac:dyDescent="0.25"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P202" s="12"/>
    </row>
    <row r="203" spans="3:16" ht="15.75" customHeight="1" x14ac:dyDescent="0.25"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P203" s="12"/>
    </row>
    <row r="204" spans="3:16" ht="15.75" customHeight="1" x14ac:dyDescent="0.25"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P204" s="12"/>
    </row>
    <row r="205" spans="3:16" ht="15.75" customHeight="1" x14ac:dyDescent="0.25"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P205" s="12"/>
    </row>
    <row r="206" spans="3:16" ht="15.75" customHeight="1" x14ac:dyDescent="0.25"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P206" s="12"/>
    </row>
    <row r="207" spans="3:16" ht="15.75" customHeight="1" x14ac:dyDescent="0.25"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P207" s="12"/>
    </row>
    <row r="208" spans="3:16" ht="15.75" customHeight="1" x14ac:dyDescent="0.25"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P208" s="12"/>
    </row>
    <row r="209" spans="3:16" ht="15.75" customHeight="1" x14ac:dyDescent="0.25"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P209" s="12"/>
    </row>
    <row r="210" spans="3:16" ht="15.75" customHeight="1" x14ac:dyDescent="0.25"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P210" s="12"/>
    </row>
    <row r="211" spans="3:16" ht="15.75" customHeight="1" x14ac:dyDescent="0.25"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P211" s="12"/>
    </row>
    <row r="212" spans="3:16" ht="15.75" customHeight="1" x14ac:dyDescent="0.25"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P212" s="12"/>
    </row>
    <row r="213" spans="3:16" ht="15.75" customHeight="1" x14ac:dyDescent="0.25"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P213" s="12"/>
    </row>
    <row r="214" spans="3:16" ht="15.75" customHeight="1" x14ac:dyDescent="0.25"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P214" s="12"/>
    </row>
    <row r="215" spans="3:16" ht="15.75" customHeight="1" x14ac:dyDescent="0.25"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P215" s="12"/>
    </row>
    <row r="216" spans="3:16" ht="15.75" customHeight="1" x14ac:dyDescent="0.25"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P216" s="12"/>
    </row>
    <row r="217" spans="3:16" ht="15.75" customHeight="1" x14ac:dyDescent="0.25"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P217" s="12"/>
    </row>
    <row r="218" spans="3:16" ht="15.75" customHeight="1" x14ac:dyDescent="0.25"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P218" s="12"/>
    </row>
    <row r="219" spans="3:16" ht="15.75" customHeight="1" x14ac:dyDescent="0.25"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P219" s="12"/>
    </row>
    <row r="220" spans="3:16" ht="15.75" customHeight="1" x14ac:dyDescent="0.25"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P220" s="12"/>
    </row>
    <row r="221" spans="3:16" ht="15.75" customHeight="1" x14ac:dyDescent="0.25"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P221" s="12"/>
    </row>
    <row r="222" spans="3:16" ht="15.75" customHeight="1" x14ac:dyDescent="0.25"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P222" s="12"/>
    </row>
    <row r="223" spans="3:16" ht="15.75" customHeight="1" x14ac:dyDescent="0.25"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P223" s="12"/>
    </row>
    <row r="224" spans="3:16" ht="15.75" customHeight="1" x14ac:dyDescent="0.25"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P224" s="12"/>
    </row>
    <row r="225" spans="3:16" ht="15.75" customHeight="1" x14ac:dyDescent="0.25"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P225" s="12"/>
    </row>
    <row r="226" spans="3:16" ht="15.75" customHeight="1" x14ac:dyDescent="0.25"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P226" s="12"/>
    </row>
    <row r="227" spans="3:16" ht="15.75" customHeight="1" x14ac:dyDescent="0.25"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P227" s="12"/>
    </row>
    <row r="228" spans="3:16" ht="15.75" customHeight="1" x14ac:dyDescent="0.25"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P228" s="12"/>
    </row>
    <row r="229" spans="3:16" ht="15.75" customHeight="1" x14ac:dyDescent="0.25"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P229" s="12"/>
    </row>
    <row r="230" spans="3:16" ht="15.75" customHeight="1" x14ac:dyDescent="0.25"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P230" s="12"/>
    </row>
    <row r="231" spans="3:16" ht="15.75" customHeight="1" x14ac:dyDescent="0.25"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P231" s="12"/>
    </row>
    <row r="232" spans="3:16" ht="15.75" customHeight="1" x14ac:dyDescent="0.25"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P232" s="12"/>
    </row>
    <row r="233" spans="3:16" ht="15.75" customHeight="1" x14ac:dyDescent="0.25"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P233" s="12"/>
    </row>
    <row r="234" spans="3:16" ht="15.75" customHeight="1" x14ac:dyDescent="0.25"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P234" s="12"/>
    </row>
    <row r="235" spans="3:16" ht="15.75" customHeight="1" x14ac:dyDescent="0.25"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P235" s="12"/>
    </row>
    <row r="236" spans="3:16" ht="15.75" customHeight="1" x14ac:dyDescent="0.25"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P236" s="12"/>
    </row>
    <row r="237" spans="3:16" ht="15.75" customHeight="1" x14ac:dyDescent="0.25"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P237" s="12"/>
    </row>
    <row r="238" spans="3:16" ht="15.75" customHeight="1" x14ac:dyDescent="0.25"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P238" s="12"/>
    </row>
    <row r="239" spans="3:16" ht="15.75" customHeight="1" x14ac:dyDescent="0.25"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P239" s="12"/>
    </row>
    <row r="240" spans="3:16" ht="15.75" customHeight="1" x14ac:dyDescent="0.25"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P240" s="12"/>
    </row>
    <row r="241" spans="3:16" ht="15.75" customHeight="1" x14ac:dyDescent="0.25"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P241" s="12"/>
    </row>
    <row r="242" spans="3:16" ht="15.75" customHeight="1" x14ac:dyDescent="0.25"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P242" s="12"/>
    </row>
    <row r="243" spans="3:16" ht="15.75" customHeight="1" x14ac:dyDescent="0.25"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P243" s="12"/>
    </row>
    <row r="244" spans="3:16" ht="15.75" customHeight="1" x14ac:dyDescent="0.25"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P244" s="12"/>
    </row>
    <row r="245" spans="3:16" ht="15.75" customHeight="1" x14ac:dyDescent="0.25"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P245" s="12"/>
    </row>
    <row r="246" spans="3:16" ht="15.75" customHeight="1" x14ac:dyDescent="0.25"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P246" s="12"/>
    </row>
    <row r="247" spans="3:16" ht="15.75" customHeight="1" x14ac:dyDescent="0.25"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P247" s="12"/>
    </row>
    <row r="248" spans="3:16" ht="15.75" customHeight="1" x14ac:dyDescent="0.25"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P248" s="12"/>
    </row>
    <row r="249" spans="3:16" ht="15.75" customHeight="1" x14ac:dyDescent="0.25"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P249" s="12"/>
    </row>
    <row r="250" spans="3:16" ht="15.75" customHeight="1" x14ac:dyDescent="0.25"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P250" s="12"/>
    </row>
    <row r="251" spans="3:16" ht="15.75" customHeight="1" x14ac:dyDescent="0.25"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P251" s="12"/>
    </row>
    <row r="252" spans="3:16" ht="15.75" customHeight="1" x14ac:dyDescent="0.25"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P252" s="12"/>
    </row>
    <row r="253" spans="3:16" ht="15.75" customHeight="1" x14ac:dyDescent="0.25"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P253" s="12"/>
    </row>
    <row r="254" spans="3:16" ht="15.75" customHeight="1" x14ac:dyDescent="0.25"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P254" s="12"/>
    </row>
    <row r="255" spans="3:16" ht="15.75" customHeight="1" x14ac:dyDescent="0.25"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P255" s="12"/>
    </row>
    <row r="256" spans="3:16" ht="15.75" customHeight="1" x14ac:dyDescent="0.25"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P256" s="12"/>
    </row>
    <row r="257" spans="3:16" ht="15.75" customHeight="1" x14ac:dyDescent="0.25"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P257" s="12"/>
    </row>
    <row r="258" spans="3:16" ht="15.75" customHeight="1" x14ac:dyDescent="0.25"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P258" s="12"/>
    </row>
    <row r="259" spans="3:16" ht="15.75" customHeight="1" x14ac:dyDescent="0.25"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P259" s="12"/>
    </row>
    <row r="260" spans="3:16" ht="15.75" customHeight="1" x14ac:dyDescent="0.25"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P260" s="12"/>
    </row>
    <row r="261" spans="3:16" ht="15.75" customHeight="1" x14ac:dyDescent="0.25"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P261" s="12"/>
    </row>
    <row r="262" spans="3:16" ht="15.75" customHeight="1" x14ac:dyDescent="0.25"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P262" s="12"/>
    </row>
    <row r="263" spans="3:16" ht="15.75" customHeight="1" x14ac:dyDescent="0.25"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P263" s="12"/>
    </row>
    <row r="264" spans="3:16" ht="15.75" customHeight="1" x14ac:dyDescent="0.25"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P264" s="12"/>
    </row>
    <row r="265" spans="3:16" ht="15.75" customHeight="1" x14ac:dyDescent="0.25"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P265" s="12"/>
    </row>
    <row r="266" spans="3:16" ht="15.75" customHeight="1" x14ac:dyDescent="0.25"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P266" s="12"/>
    </row>
    <row r="267" spans="3:16" ht="15.75" customHeight="1" x14ac:dyDescent="0.25"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P267" s="12"/>
    </row>
    <row r="268" spans="3:16" ht="15.75" customHeight="1" x14ac:dyDescent="0.25"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P268" s="12"/>
    </row>
    <row r="269" spans="3:16" ht="15.75" customHeight="1" x14ac:dyDescent="0.25"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P269" s="12"/>
    </row>
    <row r="270" spans="3:16" ht="15.75" customHeight="1" x14ac:dyDescent="0.25"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P270" s="12"/>
    </row>
    <row r="271" spans="3:16" ht="15.75" customHeight="1" x14ac:dyDescent="0.25"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P271" s="12"/>
    </row>
    <row r="272" spans="3:16" ht="15.75" customHeight="1" x14ac:dyDescent="0.25"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P272" s="12"/>
    </row>
    <row r="273" spans="3:16" ht="15.75" customHeight="1" x14ac:dyDescent="0.25"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P273" s="12"/>
    </row>
    <row r="274" spans="3:16" ht="15.75" customHeight="1" x14ac:dyDescent="0.25"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P274" s="12"/>
    </row>
    <row r="275" spans="3:16" ht="15.75" customHeight="1" x14ac:dyDescent="0.25"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P275" s="12"/>
    </row>
    <row r="276" spans="3:16" ht="15.75" customHeight="1" x14ac:dyDescent="0.25"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P276" s="12"/>
    </row>
    <row r="277" spans="3:16" ht="15.75" customHeight="1" x14ac:dyDescent="0.25"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P277" s="12"/>
    </row>
    <row r="278" spans="3:16" ht="15.75" customHeight="1" x14ac:dyDescent="0.25"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</row>
    <row r="279" spans="3:16" ht="15.75" customHeight="1" x14ac:dyDescent="0.25"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</row>
    <row r="280" spans="3:16" ht="15.75" customHeight="1" x14ac:dyDescent="0.25"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</row>
    <row r="281" spans="3:16" ht="15.75" customHeight="1" x14ac:dyDescent="0.25"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</row>
    <row r="282" spans="3:16" ht="15.75" customHeight="1" x14ac:dyDescent="0.25"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</row>
    <row r="283" spans="3:16" ht="15.75" customHeight="1" x14ac:dyDescent="0.25"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</row>
    <row r="284" spans="3:16" ht="15.75" customHeight="1" x14ac:dyDescent="0.25"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</row>
    <row r="285" spans="3:16" ht="15.75" customHeight="1" x14ac:dyDescent="0.25"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</row>
    <row r="286" spans="3:16" ht="15.75" customHeight="1" x14ac:dyDescent="0.25"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</row>
    <row r="287" spans="3:16" ht="15.75" customHeight="1" x14ac:dyDescent="0.25"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</row>
    <row r="288" spans="3:16" ht="15.75" customHeight="1" x14ac:dyDescent="0.25"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</row>
    <row r="289" spans="3:14" ht="15.75" customHeight="1" x14ac:dyDescent="0.25"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</row>
    <row r="290" spans="3:14" ht="15.75" customHeight="1" x14ac:dyDescent="0.25"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</row>
    <row r="291" spans="3:14" ht="15.75" customHeight="1" x14ac:dyDescent="0.25"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</row>
    <row r="292" spans="3:14" ht="15.75" customHeight="1" x14ac:dyDescent="0.25"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</row>
    <row r="293" spans="3:14" ht="15.75" customHeight="1" x14ac:dyDescent="0.25"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</row>
    <row r="294" spans="3:14" ht="15.75" customHeight="1" x14ac:dyDescent="0.25"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</row>
    <row r="295" spans="3:14" ht="15.75" customHeight="1" x14ac:dyDescent="0.25"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</row>
    <row r="296" spans="3:14" ht="15.75" customHeight="1" x14ac:dyDescent="0.25"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</row>
    <row r="297" spans="3:14" ht="15.75" customHeight="1" x14ac:dyDescent="0.25"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</row>
    <row r="298" spans="3:14" ht="15.75" customHeight="1" x14ac:dyDescent="0.25"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</row>
    <row r="299" spans="3:14" ht="15.75" customHeight="1" x14ac:dyDescent="0.25"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</row>
    <row r="300" spans="3:14" ht="15.75" customHeight="1" x14ac:dyDescent="0.25"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</row>
    <row r="301" spans="3:14" ht="15.75" customHeight="1" x14ac:dyDescent="0.25"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</row>
    <row r="302" spans="3:14" ht="15.75" customHeight="1" x14ac:dyDescent="0.25"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</row>
    <row r="303" spans="3:14" ht="15.75" customHeight="1" x14ac:dyDescent="0.25"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</row>
    <row r="304" spans="3:14" ht="15.75" customHeight="1" x14ac:dyDescent="0.25"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</row>
    <row r="305" spans="3:14" ht="15.75" customHeight="1" x14ac:dyDescent="0.25"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</row>
    <row r="306" spans="3:14" ht="15.75" customHeight="1" x14ac:dyDescent="0.25"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</row>
    <row r="307" spans="3:14" ht="15.75" customHeight="1" x14ac:dyDescent="0.25"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</row>
    <row r="308" spans="3:14" ht="15.75" customHeight="1" x14ac:dyDescent="0.25"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</row>
    <row r="309" spans="3:14" ht="15.75" customHeight="1" x14ac:dyDescent="0.25"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</row>
    <row r="310" spans="3:14" ht="15.75" customHeight="1" x14ac:dyDescent="0.25"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</row>
    <row r="311" spans="3:14" ht="15.75" customHeight="1" x14ac:dyDescent="0.25"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</row>
    <row r="312" spans="3:14" ht="15.75" customHeight="1" x14ac:dyDescent="0.25"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</row>
    <row r="313" spans="3:14" ht="15.75" customHeight="1" x14ac:dyDescent="0.25"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</row>
    <row r="314" spans="3:14" ht="15.75" customHeight="1" x14ac:dyDescent="0.25"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</row>
    <row r="315" spans="3:14" ht="15.75" customHeight="1" x14ac:dyDescent="0.25"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</row>
    <row r="316" spans="3:14" ht="15.75" customHeight="1" x14ac:dyDescent="0.25"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</row>
    <row r="317" spans="3:14" ht="15.75" customHeight="1" x14ac:dyDescent="0.25"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</row>
    <row r="318" spans="3:14" ht="15.75" customHeight="1" x14ac:dyDescent="0.25"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</row>
    <row r="319" spans="3:14" ht="15.75" customHeight="1" x14ac:dyDescent="0.25"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</row>
    <row r="320" spans="3:14" ht="15.75" customHeight="1" x14ac:dyDescent="0.25"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</row>
    <row r="321" spans="3:14" ht="15.75" customHeight="1" x14ac:dyDescent="0.25"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</row>
    <row r="322" spans="3:14" ht="15.75" customHeight="1" x14ac:dyDescent="0.25"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</row>
    <row r="323" spans="3:14" ht="15.75" customHeight="1" x14ac:dyDescent="0.25"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</row>
    <row r="324" spans="3:14" ht="15.75" customHeight="1" x14ac:dyDescent="0.25"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</row>
    <row r="325" spans="3:14" ht="15.75" customHeight="1" x14ac:dyDescent="0.25"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</row>
    <row r="326" spans="3:14" ht="15.75" customHeight="1" x14ac:dyDescent="0.25"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</row>
    <row r="327" spans="3:14" ht="15.75" customHeight="1" x14ac:dyDescent="0.25"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</row>
    <row r="328" spans="3:14" ht="15.75" customHeight="1" x14ac:dyDescent="0.25"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</row>
    <row r="329" spans="3:14" ht="15.75" customHeight="1" x14ac:dyDescent="0.25"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</row>
    <row r="330" spans="3:14" ht="15.75" customHeight="1" x14ac:dyDescent="0.25"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</row>
    <row r="331" spans="3:14" ht="15.75" customHeight="1" x14ac:dyDescent="0.25"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</row>
    <row r="332" spans="3:14" ht="15.75" customHeight="1" x14ac:dyDescent="0.25"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</row>
    <row r="333" spans="3:14" ht="15.75" customHeight="1" x14ac:dyDescent="0.25"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</row>
    <row r="334" spans="3:14" ht="15.75" customHeight="1" x14ac:dyDescent="0.25"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</row>
    <row r="335" spans="3:14" ht="15.75" customHeight="1" x14ac:dyDescent="0.25"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</row>
    <row r="336" spans="3:14" ht="15.75" customHeight="1" x14ac:dyDescent="0.25"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</row>
    <row r="337" spans="3:14" ht="15.75" customHeight="1" x14ac:dyDescent="0.25"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</row>
    <row r="338" spans="3:14" ht="15.75" customHeight="1" x14ac:dyDescent="0.25"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</row>
    <row r="339" spans="3:14" ht="15.75" customHeight="1" x14ac:dyDescent="0.25"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</row>
    <row r="340" spans="3:14" ht="15.75" customHeight="1" x14ac:dyDescent="0.25"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</row>
    <row r="341" spans="3:14" ht="15.75" customHeight="1" x14ac:dyDescent="0.25"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</row>
    <row r="342" spans="3:14" ht="15.75" customHeight="1" x14ac:dyDescent="0.25"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</row>
    <row r="343" spans="3:14" ht="15.75" customHeight="1" x14ac:dyDescent="0.25"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</row>
    <row r="344" spans="3:14" ht="15.75" customHeight="1" x14ac:dyDescent="0.25"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</row>
    <row r="345" spans="3:14" ht="15.75" customHeight="1" x14ac:dyDescent="0.25"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</row>
    <row r="346" spans="3:14" ht="15.75" customHeight="1" x14ac:dyDescent="0.25"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</row>
    <row r="347" spans="3:14" ht="15.75" customHeight="1" x14ac:dyDescent="0.25"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</row>
    <row r="348" spans="3:14" ht="15.75" customHeight="1" x14ac:dyDescent="0.25"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</row>
    <row r="349" spans="3:14" ht="15.75" customHeight="1" x14ac:dyDescent="0.25"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</row>
    <row r="350" spans="3:14" ht="15.75" customHeight="1" x14ac:dyDescent="0.25"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</row>
    <row r="351" spans="3:14" ht="15.75" customHeight="1" x14ac:dyDescent="0.25"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</row>
    <row r="352" spans="3:14" ht="15.75" customHeight="1" x14ac:dyDescent="0.25"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</row>
    <row r="353" spans="3:14" ht="15.75" customHeight="1" x14ac:dyDescent="0.25"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</row>
    <row r="354" spans="3:14" ht="15.75" customHeight="1" x14ac:dyDescent="0.25"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</row>
    <row r="355" spans="3:14" ht="15.75" customHeight="1" x14ac:dyDescent="0.25"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</row>
    <row r="356" spans="3:14" ht="15.75" customHeight="1" x14ac:dyDescent="0.25"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</row>
    <row r="357" spans="3:14" ht="15.75" customHeight="1" x14ac:dyDescent="0.25"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</row>
    <row r="358" spans="3:14" ht="15.75" customHeight="1" x14ac:dyDescent="0.25"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</row>
    <row r="359" spans="3:14" ht="15.75" customHeight="1" x14ac:dyDescent="0.25"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</row>
    <row r="360" spans="3:14" ht="15.75" customHeight="1" x14ac:dyDescent="0.25"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</row>
    <row r="361" spans="3:14" ht="15.75" customHeight="1" x14ac:dyDescent="0.25"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</row>
    <row r="362" spans="3:14" ht="15.75" customHeight="1" x14ac:dyDescent="0.25"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</row>
    <row r="363" spans="3:14" ht="15.75" customHeight="1" x14ac:dyDescent="0.25"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</row>
    <row r="364" spans="3:14" ht="15.75" customHeight="1" x14ac:dyDescent="0.25"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</row>
    <row r="365" spans="3:14" ht="15.75" customHeight="1" x14ac:dyDescent="0.25"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</row>
    <row r="366" spans="3:14" ht="15.75" customHeight="1" x14ac:dyDescent="0.25"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</row>
    <row r="367" spans="3:14" ht="15.75" customHeight="1" x14ac:dyDescent="0.25"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</row>
    <row r="368" spans="3:14" ht="15.75" customHeight="1" x14ac:dyDescent="0.25"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</row>
    <row r="369" spans="3:14" ht="15.75" customHeight="1" x14ac:dyDescent="0.25"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</row>
    <row r="370" spans="3:14" ht="15.75" customHeight="1" x14ac:dyDescent="0.25"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</row>
    <row r="371" spans="3:14" ht="15.75" customHeight="1" x14ac:dyDescent="0.25"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</row>
    <row r="372" spans="3:14" ht="15.75" customHeight="1" x14ac:dyDescent="0.25"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</row>
    <row r="373" spans="3:14" ht="15.75" customHeight="1" x14ac:dyDescent="0.25"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</row>
    <row r="374" spans="3:14" ht="15.75" customHeight="1" x14ac:dyDescent="0.25"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</row>
    <row r="375" spans="3:14" ht="15.75" customHeight="1" x14ac:dyDescent="0.25"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</row>
    <row r="376" spans="3:14" ht="15.75" customHeight="1" x14ac:dyDescent="0.25"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</row>
    <row r="377" spans="3:14" ht="15.75" customHeight="1" x14ac:dyDescent="0.25"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</row>
    <row r="378" spans="3:14" ht="15.75" customHeight="1" x14ac:dyDescent="0.25"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</row>
    <row r="379" spans="3:14" ht="15.75" customHeight="1" x14ac:dyDescent="0.25"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</row>
    <row r="380" spans="3:14" ht="15.75" customHeight="1" x14ac:dyDescent="0.25"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</row>
    <row r="381" spans="3:14" ht="15.75" customHeight="1" x14ac:dyDescent="0.25"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</row>
    <row r="382" spans="3:14" ht="15.75" customHeight="1" x14ac:dyDescent="0.25"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Hasil Analisis Pieces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2026-05-12T15:53:48Z</dcterms:created>
  <dcterms:modified xsi:type="dcterms:W3CDTF">2026-06-01T10:11:23Z</dcterms:modified>
</cp:coreProperties>
</file>